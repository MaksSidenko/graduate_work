
<file path=[Content_Types].xml><?xml version="1.0" encoding="utf-8"?>
<Types xmlns="http://schemas.openxmlformats.org/package/2006/content-types">
  <Override PartName="/xl/embeddings/oleObject8.bin" ContentType="application/vnd.openxmlformats-officedocument.oleObject"/>
  <Override PartName="/xl/embeddings/oleObject14.bin" ContentType="application/vnd.openxmlformats-officedocument.oleObject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6.bin" ContentType="application/vnd.openxmlformats-officedocument.oleObject"/>
  <Override PartName="/xl/drawings/drawing6.xml" ContentType="application/vnd.openxmlformats-officedocument.drawing+xml"/>
  <Override PartName="/xl/drawings/drawing8.xml" ContentType="application/vnd.openxmlformats-officedocument.drawing+xml"/>
  <Override PartName="/xl/embeddings/oleObject12.bin" ContentType="application/vnd.openxmlformats-officedocument.oleObject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10.bin" ContentType="application/vnd.openxmlformats-officedocument.oleObject"/>
  <Default Extension="wmf" ContentType="image/x-wmf"/>
  <Override PartName="/xl/drawings/drawing5.xml" ContentType="application/vnd.openxmlformats-officedocument.drawing+xml"/>
  <Override PartName="/xl/embeddings/oleObject11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embeddings/oleObject9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docProps/core.xml" ContentType="application/vnd.openxmlformats-package.core-properties+xml"/>
  <Default Extension="bin" ContentType="application/vnd.openxmlformats-officedocument.spreadsheetml.printerSettings"/>
  <Default Extension="png" ContentType="image/png"/>
  <Override PartName="/xl/embeddings/oleObject7.bin" ContentType="application/vnd.openxmlformats-officedocument.oleObject"/>
  <Override PartName="/xl/drawings/drawing9.xml" ContentType="application/vnd.openxmlformats-officedocument.drawing+xml"/>
  <Override PartName="/xl/embeddings/oleObject15.bin" ContentType="application/vnd.openxmlformats-officedocument.oleObject"/>
  <Override PartName="/xl/embeddings/oleObject5.bin" ContentType="application/vnd.openxmlformats-officedocument.oleObject"/>
  <Override PartName="/xl/drawings/drawing7.xml" ContentType="application/vnd.openxmlformats-officedocument.drawing+xml"/>
  <Override PartName="/xl/embeddings/oleObject13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5" windowWidth="15480" windowHeight="9675" tabRatio="950" activeTab="10"/>
  </bookViews>
  <sheets>
    <sheet name="1.1" sheetId="1" r:id="rId1"/>
    <sheet name="1.2" sheetId="2" r:id="rId2"/>
    <sheet name="1.3" sheetId="3" r:id="rId3"/>
    <sheet name="1.4" sheetId="4" r:id="rId4"/>
    <sheet name="параметры тр-ров" sheetId="6" r:id="rId5"/>
    <sheet name="1.5" sheetId="7" r:id="rId6"/>
    <sheet name="1.6" sheetId="8" r:id="rId7"/>
    <sheet name="потокораздел" sheetId="10" r:id="rId8"/>
    <sheet name="РУ ПС" sheetId="11" r:id="rId9"/>
    <sheet name="ТЭС" sheetId="13" r:id="rId10"/>
    <sheet name="УР на ПК" sheetId="14" r:id="rId11"/>
    <sheet name="ТЭП" sheetId="9" r:id="rId12"/>
    <sheet name="Список литературы" sheetId="5" r:id="rId13"/>
  </sheets>
  <definedNames>
    <definedName name="_xlnm.Print_Area" localSheetId="3">'1.4'!$A$1:$J$164</definedName>
  </definedNames>
  <calcPr calcId="124519"/>
</workbook>
</file>

<file path=xl/calcChain.xml><?xml version="1.0" encoding="utf-8"?>
<calcChain xmlns="http://schemas.openxmlformats.org/spreadsheetml/2006/main">
  <c r="O88" i="14"/>
  <c r="N88" s="1"/>
  <c r="O87"/>
  <c r="N87" s="1"/>
  <c r="O89"/>
  <c r="N89" s="1"/>
  <c r="N90"/>
  <c r="O90"/>
  <c r="N86"/>
  <c r="O86"/>
  <c r="M89"/>
  <c r="L89" s="1"/>
  <c r="M90"/>
  <c r="M88"/>
  <c r="M87"/>
  <c r="K89"/>
  <c r="K87"/>
  <c r="K90"/>
  <c r="I89"/>
  <c r="G88"/>
  <c r="F88" s="1"/>
  <c r="G87"/>
  <c r="G86"/>
  <c r="F86" s="1"/>
  <c r="G90"/>
  <c r="G89"/>
  <c r="F90"/>
  <c r="E89"/>
  <c r="E88"/>
  <c r="E87"/>
  <c r="E86"/>
  <c r="I90"/>
  <c r="I87"/>
  <c r="H87" s="1"/>
  <c r="H88"/>
  <c r="F134" i="9"/>
  <c r="F98"/>
  <c r="E128"/>
  <c r="D277" i="7"/>
  <c r="D261"/>
  <c r="D245"/>
  <c r="D166"/>
  <c r="D93"/>
  <c r="D22"/>
  <c r="E24"/>
  <c r="E263"/>
  <c r="I28" i="3"/>
  <c r="F45" i="2"/>
  <c r="E94" i="9"/>
  <c r="F53" i="2"/>
  <c r="F41"/>
  <c r="F49"/>
  <c r="H16" i="9"/>
  <c r="H17"/>
  <c r="J20" i="13"/>
  <c r="J22"/>
  <c r="M86" i="14"/>
  <c r="L86"/>
  <c r="L88"/>
  <c r="L90"/>
  <c r="L87"/>
  <c r="K88"/>
  <c r="J90"/>
  <c r="J89"/>
  <c r="J87"/>
  <c r="J88"/>
  <c r="K86"/>
  <c r="J86"/>
  <c r="H90"/>
  <c r="H89"/>
  <c r="I88"/>
  <c r="I86"/>
  <c r="H86"/>
  <c r="F24"/>
  <c r="J23"/>
  <c r="F89"/>
  <c r="F87"/>
  <c r="C90"/>
  <c r="C89"/>
  <c r="C88"/>
  <c r="C87"/>
  <c r="C86"/>
  <c r="J77"/>
  <c r="H77"/>
  <c r="E90" s="1"/>
  <c r="C77"/>
  <c r="J76"/>
  <c r="H76"/>
  <c r="C76"/>
  <c r="J75"/>
  <c r="H75"/>
  <c r="C75"/>
  <c r="J74"/>
  <c r="C74"/>
  <c r="J73"/>
  <c r="H73"/>
  <c r="C73"/>
  <c r="E61"/>
  <c r="H74" s="1"/>
  <c r="E10" i="6"/>
  <c r="B78" i="4"/>
  <c r="I42" i="13"/>
  <c r="D53"/>
  <c r="E120"/>
  <c r="F191"/>
  <c r="E191"/>
  <c r="E190"/>
  <c r="D142"/>
  <c r="D153"/>
  <c r="H128"/>
  <c r="J107"/>
  <c r="J108"/>
  <c r="J109"/>
  <c r="J110"/>
  <c r="H109"/>
  <c r="H108"/>
  <c r="H107"/>
  <c r="D136"/>
  <c r="H21"/>
  <c r="J21" s="1"/>
  <c r="B21"/>
  <c r="H20"/>
  <c r="B20"/>
  <c r="H13" i="9"/>
  <c r="H12"/>
  <c r="H11"/>
  <c r="H10"/>
  <c r="H9"/>
  <c r="E195" i="10"/>
  <c r="E193"/>
  <c r="D156"/>
  <c r="D140"/>
  <c r="E142" s="1"/>
  <c r="C136"/>
  <c r="D124"/>
  <c r="G156"/>
  <c r="G140"/>
  <c r="E136"/>
  <c r="H124"/>
  <c r="F24"/>
  <c r="F23"/>
  <c r="E97" i="8"/>
  <c r="E95"/>
  <c r="E141"/>
  <c r="E139"/>
  <c r="E48"/>
  <c r="E46"/>
  <c r="E316" i="7"/>
  <c r="E314"/>
  <c r="C257"/>
  <c r="E257" s="1"/>
  <c r="E204"/>
  <c r="E202"/>
  <c r="E131"/>
  <c r="E129"/>
  <c r="E60"/>
  <c r="E58"/>
  <c r="E264" l="1"/>
  <c r="F263"/>
  <c r="I24" i="9"/>
  <c r="J9"/>
  <c r="J10"/>
  <c r="J11"/>
  <c r="J12"/>
  <c r="J13"/>
  <c r="I26"/>
  <c r="I27"/>
  <c r="I28"/>
  <c r="I29"/>
  <c r="I30"/>
  <c r="I32"/>
  <c r="I33"/>
  <c r="I36"/>
  <c r="I37"/>
  <c r="I38"/>
  <c r="I40"/>
  <c r="I43"/>
  <c r="I44"/>
  <c r="I45"/>
  <c r="I47"/>
  <c r="I53"/>
  <c r="I54"/>
  <c r="I55"/>
  <c r="I57"/>
  <c r="M74" i="14"/>
  <c r="D87" s="1"/>
  <c r="M73"/>
  <c r="D86" s="1"/>
  <c r="M75"/>
  <c r="D88" s="1"/>
  <c r="M76"/>
  <c r="D89" s="1"/>
  <c r="M77"/>
  <c r="D90" s="1"/>
  <c r="D61" i="13"/>
  <c r="E31"/>
  <c r="F190" s="1"/>
  <c r="D138" i="10"/>
  <c r="D146" s="1"/>
  <c r="F25"/>
  <c r="F26"/>
  <c r="D259" i="7"/>
  <c r="D267" s="1"/>
  <c r="I146" i="10"/>
  <c r="I138"/>
  <c r="D56" i="3"/>
  <c r="D52"/>
  <c r="D46"/>
  <c r="D42"/>
  <c r="D38"/>
  <c r="D32"/>
  <c r="D29"/>
  <c r="D26"/>
  <c r="D22"/>
  <c r="F37" i="2"/>
  <c r="F29"/>
  <c r="E51" i="3" s="1"/>
  <c r="I51" s="1"/>
  <c r="F21" i="2"/>
  <c r="E41" i="3" s="1"/>
  <c r="I41" s="1"/>
  <c r="F13" i="2"/>
  <c r="E55" i="3" l="1"/>
  <c r="I55" s="1"/>
  <c r="E37"/>
  <c r="I37" s="1"/>
  <c r="E197" i="10" s="1"/>
  <c r="I59" i="9"/>
  <c r="D65" s="1"/>
  <c r="D75" s="1"/>
  <c r="J14"/>
  <c r="D84"/>
  <c r="D70"/>
  <c r="I259" i="7"/>
  <c r="D50" i="13"/>
  <c r="H267" i="7"/>
  <c r="E21" i="3"/>
  <c r="I21" s="1"/>
  <c r="E318" i="7" s="1"/>
  <c r="E28" i="3"/>
  <c r="E133" i="7" s="1"/>
  <c r="E25" i="3"/>
  <c r="I25" s="1"/>
  <c r="E62" i="7" s="1"/>
  <c r="E31" i="3"/>
  <c r="I31" s="1"/>
  <c r="E45"/>
  <c r="I45" s="1"/>
  <c r="F15" i="2"/>
  <c r="F23"/>
  <c r="F31"/>
  <c r="F39"/>
  <c r="G22" i="4" s="1"/>
  <c r="C162" i="7" l="1"/>
  <c r="E162" s="1"/>
  <c r="E168" s="1"/>
  <c r="F33" i="2"/>
  <c r="G20" i="4" s="1"/>
  <c r="F167" i="13"/>
  <c r="E163" s="1"/>
  <c r="F75"/>
  <c r="E71" s="1"/>
  <c r="C89" i="7"/>
  <c r="E89" s="1"/>
  <c r="E95" s="1"/>
  <c r="F25" i="2"/>
  <c r="G18" i="4" s="1"/>
  <c r="C18" i="7"/>
  <c r="E18" s="1"/>
  <c r="E99" i="8"/>
  <c r="E143"/>
  <c r="E50"/>
  <c r="E206" i="7"/>
  <c r="G159" i="4"/>
  <c r="D162" s="1"/>
  <c r="G153"/>
  <c r="D156" s="1"/>
  <c r="G140"/>
  <c r="G131"/>
  <c r="D134" s="1"/>
  <c r="G125"/>
  <c r="D128" s="1"/>
  <c r="G115"/>
  <c r="F17" i="2"/>
  <c r="G16" i="4" s="1"/>
  <c r="D164" i="7" l="1"/>
  <c r="E169"/>
  <c r="I168"/>
  <c r="D91"/>
  <c r="D99" s="1"/>
  <c r="D138" s="1"/>
  <c r="E96"/>
  <c r="H95"/>
  <c r="D18" i="8"/>
  <c r="H18" s="1"/>
  <c r="H99" i="7"/>
  <c r="D53" i="8"/>
  <c r="G102" i="4"/>
  <c r="D105" s="1"/>
  <c r="G93"/>
  <c r="D96" s="1"/>
  <c r="G83"/>
  <c r="G52"/>
  <c r="D55" s="1"/>
  <c r="G27"/>
  <c r="G58"/>
  <c r="D67" s="1"/>
  <c r="I53" i="8" l="1"/>
  <c r="E61" s="1"/>
  <c r="E62" s="1"/>
  <c r="D172" i="7"/>
  <c r="D211" s="1"/>
  <c r="I164"/>
  <c r="I138"/>
  <c r="E146" s="1"/>
  <c r="E25"/>
  <c r="H24"/>
  <c r="D20"/>
  <c r="D28" s="1"/>
  <c r="D59" i="8"/>
  <c r="D57" s="1"/>
  <c r="I61"/>
  <c r="D105" i="7"/>
  <c r="C109" s="1"/>
  <c r="D109" s="1"/>
  <c r="D117"/>
  <c r="E119" s="1"/>
  <c r="D122" i="8"/>
  <c r="D24"/>
  <c r="C28" s="1"/>
  <c r="D28" s="1"/>
  <c r="I211" i="7" l="1"/>
  <c r="E219" s="1"/>
  <c r="D67" i="8"/>
  <c r="D105" s="1"/>
  <c r="H172" i="7"/>
  <c r="H28"/>
  <c r="D67"/>
  <c r="E147"/>
  <c r="D144"/>
  <c r="D142" s="1"/>
  <c r="I146"/>
  <c r="D178" l="1"/>
  <c r="C182" s="1"/>
  <c r="D182" s="1"/>
  <c r="D190"/>
  <c r="E192" s="1"/>
  <c r="I105" i="8"/>
  <c r="E113" s="1"/>
  <c r="F32" i="10"/>
  <c r="F29"/>
  <c r="D55" s="1"/>
  <c r="E63" s="1"/>
  <c r="D61" s="1"/>
  <c r="D59" s="1"/>
  <c r="H67" i="8"/>
  <c r="E220" i="7"/>
  <c r="I219"/>
  <c r="D217"/>
  <c r="D215" s="1"/>
  <c r="D172" i="13"/>
  <c r="E180" s="1"/>
  <c r="H67" i="7"/>
  <c r="D46"/>
  <c r="E48" s="1"/>
  <c r="D34"/>
  <c r="C38" s="1"/>
  <c r="D38" s="1"/>
  <c r="D80" i="13"/>
  <c r="E88" s="1"/>
  <c r="G191"/>
  <c r="C183"/>
  <c r="H191" s="1"/>
  <c r="G190"/>
  <c r="C91"/>
  <c r="H190" s="1"/>
  <c r="E75" i="7" l="1"/>
  <c r="D73" i="8"/>
  <c r="C77" s="1"/>
  <c r="D77" s="1"/>
  <c r="D126"/>
  <c r="C129" s="1"/>
  <c r="D36"/>
  <c r="D86"/>
  <c r="D70" i="10"/>
  <c r="F35"/>
  <c r="E114" i="8"/>
  <c r="D111"/>
  <c r="D109" s="1"/>
  <c r="I113"/>
  <c r="F196" i="13"/>
  <c r="H199"/>
  <c r="E76" i="7" l="1"/>
  <c r="H75"/>
  <c r="D73"/>
  <c r="I70" i="10"/>
  <c r="E78" s="1"/>
  <c r="D76" s="1"/>
  <c r="D74" s="1"/>
  <c r="D83"/>
  <c r="C120" s="1"/>
  <c r="D71" i="7" l="1"/>
  <c r="C241"/>
  <c r="H120" i="10"/>
  <c r="D152"/>
  <c r="I152" s="1"/>
  <c r="E158" s="1"/>
  <c r="D154" s="1"/>
  <c r="D162" s="1"/>
  <c r="I162" s="1"/>
  <c r="E126"/>
  <c r="E122" s="1"/>
  <c r="D130" s="1"/>
  <c r="H130" s="1"/>
  <c r="D273" i="7" l="1"/>
  <c r="I273" s="1"/>
  <c r="E279" s="1"/>
  <c r="H241"/>
  <c r="E247" s="1"/>
  <c r="D203" i="10"/>
  <c r="H203" s="1"/>
  <c r="E211" s="1"/>
  <c r="D209" s="1"/>
  <c r="D207" s="1"/>
  <c r="D181"/>
  <c r="E183" s="1"/>
  <c r="D168"/>
  <c r="C172" s="1"/>
  <c r="D172" s="1"/>
  <c r="E243" i="7" l="1"/>
  <c r="D251" s="1"/>
  <c r="H251" s="1"/>
  <c r="E248"/>
  <c r="I247"/>
  <c r="D275"/>
  <c r="D283" s="1"/>
  <c r="H283" s="1"/>
  <c r="E280"/>
  <c r="H279"/>
  <c r="D323" l="1"/>
  <c r="H323" s="1"/>
  <c r="E331" s="1"/>
  <c r="D302"/>
  <c r="E304" s="1"/>
  <c r="D289"/>
  <c r="C293" s="1"/>
  <c r="D293" s="1"/>
  <c r="E332" l="1"/>
  <c r="D104" i="9" s="1"/>
  <c r="D329" i="7"/>
  <c r="D327" s="1"/>
  <c r="H331"/>
  <c r="F148" i="9" l="1"/>
  <c r="E113"/>
  <c r="D122" s="1"/>
  <c r="E109"/>
  <c r="F141" l="1"/>
  <c r="C116"/>
</calcChain>
</file>

<file path=xl/sharedStrings.xml><?xml version="1.0" encoding="utf-8"?>
<sst xmlns="http://schemas.openxmlformats.org/spreadsheetml/2006/main" count="874" uniqueCount="319">
  <si>
    <t>данные о нагрузках района</t>
  </si>
  <si>
    <t>№ ПС</t>
  </si>
  <si>
    <t>P  МВт</t>
  </si>
  <si>
    <t>max</t>
  </si>
  <si>
    <t>min</t>
  </si>
  <si>
    <t>на</t>
  </si>
  <si>
    <t>плане</t>
  </si>
  <si>
    <t>состав</t>
  </si>
  <si>
    <t>нагрузки</t>
  </si>
  <si>
    <t>по кетегории</t>
  </si>
  <si>
    <t>надежности</t>
  </si>
  <si>
    <t>продолж.</t>
  </si>
  <si>
    <t>использов.</t>
  </si>
  <si>
    <r>
      <t xml:space="preserve">tg </t>
    </r>
    <r>
      <rPr>
        <sz val="10"/>
        <color theme="1"/>
        <rFont val="Calibri"/>
        <family val="2"/>
        <charset val="204"/>
      </rPr>
      <t>Ψ</t>
    </r>
  </si>
  <si>
    <t xml:space="preserve">                          Разработка схемы электрической сети</t>
  </si>
  <si>
    <t xml:space="preserve">                                               1.1</t>
  </si>
  <si>
    <t xml:space="preserve"> I-III</t>
  </si>
  <si>
    <t>лет</t>
  </si>
  <si>
    <t>%</t>
  </si>
  <si>
    <t>руб/кВт час</t>
  </si>
  <si>
    <t xml:space="preserve">по гололёду </t>
  </si>
  <si>
    <t>по скростному напору ветра</t>
  </si>
  <si>
    <t>План распложения источников питания нагрузок района</t>
  </si>
  <si>
    <t>57 км.</t>
  </si>
  <si>
    <t>40 км.</t>
  </si>
  <si>
    <t xml:space="preserve">  35 км.</t>
  </si>
  <si>
    <t xml:space="preserve">  28 км.</t>
  </si>
  <si>
    <t xml:space="preserve">    28 км.</t>
  </si>
  <si>
    <t xml:space="preserve">   29 км.</t>
  </si>
  <si>
    <t xml:space="preserve">110 и 220 кВ. </t>
  </si>
  <si>
    <t xml:space="preserve">                Анализ исходных данных и выбор вариантов конфигурации сети.</t>
  </si>
  <si>
    <t>энергосистемы – ПС А  и четырёх отребительских – ПС 1 , ПС 2 ,  ПС 3 и ПС 4</t>
  </si>
  <si>
    <t>ПС А</t>
  </si>
  <si>
    <t>Сеть располагается в зоне Сибири ОЭС и имеет 3-й климатический район по гололеду.</t>
  </si>
  <si>
    <t>Согласно заданию выбираем два варианта электрических схем сети нагрузок.</t>
  </si>
  <si>
    <t xml:space="preserve">Причем потребители на подстанции принадлежат ко всем категориям надежности, что </t>
  </si>
  <si>
    <t>предусматривает установку на подстанциях двух трансформаторов .</t>
  </si>
  <si>
    <t xml:space="preserve">Определение приближенного баланса активных и реактивных </t>
  </si>
  <si>
    <t>мощностей района нагрузок.</t>
  </si>
  <si>
    <t xml:space="preserve">     Для проектирования была предложена сеть района нагрузок состоящая из подстанции</t>
  </si>
  <si>
    <t xml:space="preserve"> 1.2</t>
  </si>
  <si>
    <r>
      <t xml:space="preserve">Расчет max нагрузок на </t>
    </r>
    <r>
      <rPr>
        <b/>
        <sz val="11"/>
        <color theme="1"/>
        <rFont val="Arial"/>
        <family val="2"/>
        <charset val="204"/>
      </rPr>
      <t>ПС-1</t>
    </r>
  </si>
  <si>
    <t>МВт</t>
  </si>
  <si>
    <t>Мвар</t>
  </si>
  <si>
    <t>МВА</t>
  </si>
  <si>
    <t xml:space="preserve"> </t>
  </si>
  <si>
    <r>
      <t xml:space="preserve">Расчет max нагрузок на </t>
    </r>
    <r>
      <rPr>
        <b/>
        <sz val="11"/>
        <color theme="1"/>
        <rFont val="Arial"/>
        <family val="2"/>
        <charset val="204"/>
      </rPr>
      <t>ПС-2</t>
    </r>
  </si>
  <si>
    <r>
      <t xml:space="preserve">Расчет max нагрузок на </t>
    </r>
    <r>
      <rPr>
        <b/>
        <sz val="11"/>
        <color theme="1"/>
        <rFont val="Arial"/>
        <family val="2"/>
        <charset val="204"/>
      </rPr>
      <t>ПС-3</t>
    </r>
  </si>
  <si>
    <r>
      <t xml:space="preserve">Расчет max нагрузок на </t>
    </r>
    <r>
      <rPr>
        <b/>
        <sz val="11"/>
        <color theme="1"/>
        <rFont val="Arial"/>
        <family val="2"/>
        <charset val="204"/>
      </rPr>
      <t>ПС-4</t>
    </r>
  </si>
  <si>
    <t xml:space="preserve">Суммарная max активная мощность сети  </t>
  </si>
  <si>
    <t xml:space="preserve">Суммарная max реактивная мощность сети  </t>
  </si>
  <si>
    <t xml:space="preserve"> 1.3</t>
  </si>
  <si>
    <t>сводная таблица параметров выбранных схем</t>
  </si>
  <si>
    <t>участки</t>
  </si>
  <si>
    <t>L участков; км</t>
  </si>
  <si>
    <t xml:space="preserve">А - 1 </t>
  </si>
  <si>
    <t xml:space="preserve"> 1 - 2</t>
  </si>
  <si>
    <t xml:space="preserve"> 1 - 3</t>
  </si>
  <si>
    <t xml:space="preserve"> 1 - 4</t>
  </si>
  <si>
    <t xml:space="preserve"> 2 - 3</t>
  </si>
  <si>
    <t xml:space="preserve"> 2 - 4</t>
  </si>
  <si>
    <t xml:space="preserve"> 3 - 4</t>
  </si>
  <si>
    <t>Радиальная схема  сх 1:</t>
  </si>
  <si>
    <t>Радиальная схема с кольцевым участком сх 2:</t>
  </si>
  <si>
    <t>тип линии сх1</t>
  </si>
  <si>
    <t>тип линии сх2</t>
  </si>
  <si>
    <t>Радиальная схема сх1</t>
  </si>
  <si>
    <t>кВ</t>
  </si>
  <si>
    <t>принимаем</t>
  </si>
  <si>
    <t xml:space="preserve"> 1.4</t>
  </si>
  <si>
    <t>где                - мощность потребителей подстанции.</t>
  </si>
  <si>
    <t>ПС 1</t>
  </si>
  <si>
    <t>т.е.</t>
  </si>
  <si>
    <t>Ко=</t>
  </si>
  <si>
    <t>Тр=</t>
  </si>
  <si>
    <t xml:space="preserve">                                                                            1 Уровни напряжения на шинах ПС А:</t>
  </si>
  <si>
    <r>
      <t xml:space="preserve">     2 Коэффициент реактивной мощности </t>
    </r>
    <r>
      <rPr>
        <sz val="11"/>
        <color rgb="FF0070C0"/>
        <rFont val="Calibri"/>
        <family val="2"/>
        <charset val="204"/>
        <scheme val="minor"/>
      </rPr>
      <t>tg(</t>
    </r>
    <r>
      <rPr>
        <sz val="11"/>
        <color rgb="FF0070C0"/>
        <rFont val="Calibri"/>
        <family val="2"/>
        <charset val="204"/>
      </rPr>
      <t>Ψ</t>
    </r>
    <r>
      <rPr>
        <sz val="11"/>
        <color rgb="FF0070C0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charset val="204"/>
        <scheme val="minor"/>
      </rPr>
      <t xml:space="preserve"> на шинах ПС А В режимах :</t>
    </r>
  </si>
  <si>
    <t xml:space="preserve">     3 Коэффициент участия (одновременности) нагрузок района в </t>
  </si>
  <si>
    <t>Ен=</t>
  </si>
  <si>
    <t>Цэ=</t>
  </si>
  <si>
    <t xml:space="preserve">        максимуме энергосистемы :    </t>
  </si>
  <si>
    <t xml:space="preserve">         в режиме max нагрузок   </t>
  </si>
  <si>
    <t xml:space="preserve">         в режиме min нагрузок   </t>
  </si>
  <si>
    <t xml:space="preserve">    max нагрузок </t>
  </si>
  <si>
    <t xml:space="preserve">    min нагрузок</t>
  </si>
  <si>
    <t xml:space="preserve">  Сибири</t>
  </si>
  <si>
    <r>
      <t>U</t>
    </r>
    <r>
      <rPr>
        <sz val="10"/>
        <color rgb="FF0070C0"/>
        <rFont val="Calibri"/>
        <family val="2"/>
        <charset val="204"/>
        <scheme val="minor"/>
      </rPr>
      <t>ном</t>
    </r>
  </si>
  <si>
    <t xml:space="preserve">     8 Условия сооружения и работы сети:</t>
  </si>
  <si>
    <t xml:space="preserve">     9 Климатические районы:</t>
  </si>
  <si>
    <t xml:space="preserve">     4 Величина нагрузки подстанции, предшествующая max нагрузке:</t>
  </si>
  <si>
    <t xml:space="preserve">     5 Расчетный срок проекта :</t>
  </si>
  <si>
    <t xml:space="preserve">     6 Норма дисконта :</t>
  </si>
  <si>
    <r>
      <t xml:space="preserve">     7 Цена на электроэнергию :     </t>
    </r>
    <r>
      <rPr>
        <sz val="14"/>
        <color rgb="FF0070C0"/>
        <rFont val="Calibri"/>
        <family val="2"/>
        <charset val="204"/>
        <scheme val="minor"/>
      </rPr>
      <t/>
    </r>
  </si>
  <si>
    <t>Список используемой литературы:</t>
  </si>
  <si>
    <t>Справочник по проектированию электрических сетей</t>
  </si>
  <si>
    <t>/Д.Л. Фабисович – М.:Изд-во НЦ ЭНАС, 2005/</t>
  </si>
  <si>
    <t xml:space="preserve">Электрическая сеть района нагрузок: Учедное пособие к курсовому проекту </t>
  </si>
  <si>
    <t>/О.А. Бушуева, А.И. Кулешов - Изд. ГОУВПО ИГЭУ им. В.И. Ленина. - Иваново 2006/</t>
  </si>
  <si>
    <r>
      <t xml:space="preserve">По [1] табл. [5.18] выбираем 2 трансформатора </t>
    </r>
    <r>
      <rPr>
        <u/>
        <sz val="11"/>
        <color theme="4"/>
        <rFont val="Arial"/>
        <family val="2"/>
        <charset val="204"/>
      </rPr>
      <t>АТДЦТН-125000/220/110/0.4</t>
    </r>
  </si>
  <si>
    <t>ПС 2</t>
  </si>
  <si>
    <r>
      <t xml:space="preserve">По [1] табл. [5.13] выбираем 2 трансформатора </t>
    </r>
    <r>
      <rPr>
        <u/>
        <sz val="11"/>
        <color theme="4"/>
        <rFont val="Arial"/>
        <family val="2"/>
        <charset val="204"/>
      </rPr>
      <t>ТРДН-25000/110/6,3</t>
    </r>
  </si>
  <si>
    <t>ПС 3</t>
  </si>
  <si>
    <r>
      <t xml:space="preserve">По [1] табл. [5.13] выбираем 2 трансформатора </t>
    </r>
    <r>
      <rPr>
        <u/>
        <sz val="11"/>
        <color theme="4"/>
        <rFont val="Arial"/>
        <family val="2"/>
        <charset val="204"/>
      </rPr>
      <t>ТДН-16000/110/6,6</t>
    </r>
  </si>
  <si>
    <t>ПС 4</t>
  </si>
  <si>
    <r>
      <t xml:space="preserve">По [1] табл. [5.13] выбираем 2 трансформатора </t>
    </r>
    <r>
      <rPr>
        <u/>
        <sz val="11"/>
        <color theme="4"/>
        <rFont val="Arial"/>
        <family val="2"/>
        <charset val="204"/>
      </rPr>
      <t>ТДН-10000/110/6,6</t>
    </r>
  </si>
  <si>
    <t xml:space="preserve">число </t>
  </si>
  <si>
    <t>тр-ров</t>
  </si>
  <si>
    <t>на ПС</t>
  </si>
  <si>
    <t>тр-ра</t>
  </si>
  <si>
    <t>ВН</t>
  </si>
  <si>
    <t>СН</t>
  </si>
  <si>
    <t>НН</t>
  </si>
  <si>
    <t>мощн.</t>
  </si>
  <si>
    <t>кВт</t>
  </si>
  <si>
    <t>кВар</t>
  </si>
  <si>
    <t xml:space="preserve"> 1.5</t>
  </si>
  <si>
    <t xml:space="preserve">Выбор силовых трансформаторов подстанций энергосистем и промышленных </t>
  </si>
  <si>
    <t>предприятий с учётом допустимых нагрузок</t>
  </si>
  <si>
    <t>/М.И. Соколов -  Изд. ГОУВПО ИГЭУ им. В.И. Ленина. - Иваново 1999/</t>
  </si>
  <si>
    <t>приинимаем</t>
  </si>
  <si>
    <t xml:space="preserve">    район нагрузок принадлежит ОЭС</t>
  </si>
  <si>
    <t>Расчёт установившихся режимов электрических сетей. Методические указания</t>
  </si>
  <si>
    <t xml:space="preserve">/О.А. Бушуева,Н.Н. Парфёнычева А.И. Кулешов - Изд. ГОУВПО ИГЭУ им. </t>
  </si>
  <si>
    <t>В.И. Ленина. - Иваново 2006/</t>
  </si>
  <si>
    <t>=</t>
  </si>
  <si>
    <t xml:space="preserve"> - для алюминиевых неизолированных проводов</t>
  </si>
  <si>
    <t>А</t>
  </si>
  <si>
    <r>
      <t>По условию короны для    U</t>
    </r>
    <r>
      <rPr>
        <sz val="8"/>
        <color theme="1"/>
        <rFont val="Calibri"/>
        <family val="2"/>
        <charset val="204"/>
        <scheme val="minor"/>
      </rPr>
      <t>ном</t>
    </r>
    <r>
      <rPr>
        <sz val="12"/>
        <color theme="1"/>
        <rFont val="Calibri"/>
        <family val="2"/>
        <charset val="204"/>
        <scheme val="minor"/>
      </rPr>
      <t xml:space="preserve">= 110 кВ        F </t>
    </r>
    <r>
      <rPr>
        <sz val="12"/>
        <color theme="1"/>
        <rFont val="Calibri"/>
        <family val="2"/>
        <charset val="204"/>
      </rPr>
      <t>≥</t>
    </r>
  </si>
  <si>
    <t>По [2] таблица [П2.5] выбран провод марки АС-95/16</t>
  </si>
  <si>
    <r>
      <t>По [2] таблица [П2.8]              I</t>
    </r>
    <r>
      <rPr>
        <sz val="8"/>
        <color theme="1"/>
        <rFont val="Calibri"/>
        <family val="2"/>
        <charset val="204"/>
        <scheme val="minor"/>
      </rPr>
      <t>доп</t>
    </r>
    <r>
      <rPr>
        <sz val="12"/>
        <color theme="1"/>
        <rFont val="Calibri"/>
        <family val="2"/>
        <charset val="204"/>
        <scheme val="minor"/>
      </rPr>
      <t>=</t>
    </r>
  </si>
  <si>
    <r>
      <t xml:space="preserve">Условие по нагреву:      </t>
    </r>
    <r>
      <rPr>
        <sz val="12"/>
        <color theme="1"/>
        <rFont val="Calibri"/>
        <family val="2"/>
        <charset val="204"/>
        <scheme val="minor"/>
      </rPr>
      <t>I</t>
    </r>
    <r>
      <rPr>
        <sz val="8"/>
        <color theme="1"/>
        <rFont val="Calibri"/>
        <family val="2"/>
        <charset val="204"/>
        <scheme val="minor"/>
      </rPr>
      <t xml:space="preserve">п/а </t>
    </r>
    <r>
      <rPr>
        <sz val="12"/>
        <color theme="1"/>
        <rFont val="Calibri"/>
        <family val="2"/>
        <charset val="204"/>
      </rPr>
      <t>≤ l</t>
    </r>
    <r>
      <rPr>
        <sz val="8"/>
        <color theme="1"/>
        <rFont val="Calibri"/>
        <family val="2"/>
        <charset val="204"/>
      </rPr>
      <t>доп</t>
    </r>
  </si>
  <si>
    <t>Окончательно выбран провод марки АС - 95/16 со следующими параметрами:</t>
  </si>
  <si>
    <t>Ом/км</t>
  </si>
  <si>
    <t>См/км</t>
  </si>
  <si>
    <t>Ом</t>
  </si>
  <si>
    <t>Мощность в конце линии с учетом зарядной мощности в конце линии</t>
  </si>
  <si>
    <t>Мощность в начале линии</t>
  </si>
  <si>
    <t>ВА</t>
  </si>
  <si>
    <t xml:space="preserve"> МВА   =</t>
  </si>
  <si>
    <t xml:space="preserve">     МВА</t>
  </si>
  <si>
    <t xml:space="preserve">            участок 1-2</t>
  </si>
  <si>
    <t xml:space="preserve">        Выбор проводов </t>
  </si>
  <si>
    <t xml:space="preserve">            участок 1-3</t>
  </si>
  <si>
    <t>По [2] таблица [П2.5] выбран провод марки АС-70/11</t>
  </si>
  <si>
    <t>Окончательно выбран провод марки АС - 70/11 со следующими параметрами:</t>
  </si>
  <si>
    <t xml:space="preserve">            участок 1-4</t>
  </si>
  <si>
    <t xml:space="preserve">            участок А-1</t>
  </si>
  <si>
    <r>
      <t xml:space="preserve"> </t>
    </r>
    <r>
      <rPr>
        <sz val="11"/>
        <color theme="1"/>
        <rFont val="Calibri"/>
        <family val="2"/>
        <charset val="204"/>
        <scheme val="minor"/>
      </rPr>
      <t xml:space="preserve">Мощность в начале звена обмотки </t>
    </r>
    <r>
      <rPr>
        <b/>
        <sz val="11"/>
        <color theme="1"/>
        <rFont val="Calibri"/>
        <family val="2"/>
        <charset val="204"/>
        <scheme val="minor"/>
      </rPr>
      <t>СН</t>
    </r>
    <r>
      <rPr>
        <sz val="11"/>
        <color theme="1"/>
        <rFont val="Calibri"/>
        <family val="2"/>
        <charset val="204"/>
        <scheme val="minor"/>
      </rPr>
      <t xml:space="preserve"> трансформатора подстанции </t>
    </r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</si>
  <si>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 </t>
    </r>
    <r>
      <rPr>
        <sz val="11"/>
        <color theme="1"/>
        <rFont val="Calibri"/>
        <family val="2"/>
        <charset val="204"/>
        <scheme val="minor"/>
      </rPr>
      <t xml:space="preserve">Мощность в начале звена обмотки </t>
    </r>
    <r>
      <rPr>
        <b/>
        <sz val="11"/>
        <color theme="1"/>
        <rFont val="Calibri"/>
        <family val="2"/>
        <charset val="204"/>
        <scheme val="minor"/>
      </rPr>
      <t>НН</t>
    </r>
    <r>
      <rPr>
        <sz val="11"/>
        <color theme="1"/>
        <rFont val="Calibri"/>
        <family val="2"/>
        <charset val="204"/>
        <scheme val="minor"/>
      </rPr>
      <t xml:space="preserve"> трансформатора подстанции </t>
    </r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</si>
  <si>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 </t>
    </r>
    <r>
      <rPr>
        <sz val="11"/>
        <color theme="1"/>
        <rFont val="Calibri"/>
        <family val="2"/>
        <charset val="204"/>
        <scheme val="minor"/>
      </rPr>
      <t xml:space="preserve">Мощность в начале звена обмотки </t>
    </r>
    <r>
      <rPr>
        <b/>
        <sz val="11"/>
        <color theme="1"/>
        <rFont val="Calibri"/>
        <family val="2"/>
        <charset val="204"/>
        <scheme val="minor"/>
      </rPr>
      <t>ВН</t>
    </r>
    <r>
      <rPr>
        <sz val="11"/>
        <color theme="1"/>
        <rFont val="Calibri"/>
        <family val="2"/>
        <charset val="204"/>
        <scheme val="minor"/>
      </rPr>
      <t xml:space="preserve"> трансформатора подстанции </t>
    </r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.</t>
    </r>
  </si>
  <si>
    <r>
      <t>По условию короны для    U</t>
    </r>
    <r>
      <rPr>
        <sz val="8"/>
        <color theme="1"/>
        <rFont val="Calibri"/>
        <family val="2"/>
        <charset val="204"/>
        <scheme val="minor"/>
      </rPr>
      <t>ном</t>
    </r>
    <r>
      <rPr>
        <sz val="12"/>
        <color theme="1"/>
        <rFont val="Calibri"/>
        <family val="2"/>
        <charset val="204"/>
        <scheme val="minor"/>
      </rPr>
      <t xml:space="preserve">= 220 кВ        F </t>
    </r>
    <r>
      <rPr>
        <sz val="12"/>
        <color theme="1"/>
        <rFont val="Calibri"/>
        <family val="2"/>
        <charset val="204"/>
      </rPr>
      <t>≥</t>
    </r>
  </si>
  <si>
    <r>
      <t>По [2] таблица [П2.4] выбран провод марки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АС-240/32</t>
    </r>
  </si>
  <si>
    <r>
      <t>Окончательно выбран провод марки</t>
    </r>
    <r>
      <rPr>
        <b/>
        <sz val="11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АС-240/32</t>
    </r>
    <r>
      <rPr>
        <b/>
        <sz val="1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со следующими параметрами:</t>
    </r>
  </si>
  <si>
    <t xml:space="preserve"> 1.6</t>
  </si>
  <si>
    <r>
      <t>По [2] таблица [П2.8]           I</t>
    </r>
    <r>
      <rPr>
        <sz val="8"/>
        <color theme="1"/>
        <rFont val="Calibri"/>
        <family val="2"/>
        <charset val="204"/>
        <scheme val="minor"/>
      </rPr>
      <t>доп</t>
    </r>
    <r>
      <rPr>
        <sz val="12"/>
        <color theme="1"/>
        <rFont val="Calibri"/>
        <family val="2"/>
        <charset val="204"/>
        <scheme val="minor"/>
      </rPr>
      <t>=</t>
    </r>
  </si>
  <si>
    <r>
      <t xml:space="preserve">Условие по нагреву:      </t>
    </r>
    <r>
      <rPr>
        <sz val="12"/>
        <color rgb="FF000000"/>
        <rFont val="Calibri"/>
        <family val="2"/>
        <charset val="204"/>
        <scheme val="minor"/>
      </rPr>
      <t>I</t>
    </r>
    <r>
      <rPr>
        <sz val="8"/>
        <color rgb="FF000000"/>
        <rFont val="Calibri"/>
        <family val="2"/>
        <charset val="204"/>
        <scheme val="minor"/>
      </rPr>
      <t xml:space="preserve">п/а </t>
    </r>
    <r>
      <rPr>
        <sz val="12"/>
        <color rgb="FF000000"/>
        <rFont val="Calibri"/>
        <family val="2"/>
        <charset val="204"/>
        <scheme val="minor"/>
      </rPr>
      <t>≤ l</t>
    </r>
    <r>
      <rPr>
        <sz val="8"/>
        <color rgb="FF000000"/>
        <rFont val="Calibri"/>
        <family val="2"/>
        <charset val="204"/>
        <scheme val="minor"/>
      </rPr>
      <t>доп</t>
    </r>
  </si>
  <si>
    <t xml:space="preserve"> -   выполняется</t>
  </si>
  <si>
    <t xml:space="preserve">       участок 3-4</t>
  </si>
  <si>
    <t xml:space="preserve">Выбираем провод марки АС - 70/11 с параметрами: </t>
  </si>
  <si>
    <t>Сопряженные комплексы сопротивлений участков</t>
  </si>
  <si>
    <t>Разрываем схему на два радиальных участка</t>
  </si>
  <si>
    <t xml:space="preserve">       участок 4-1'</t>
  </si>
  <si>
    <t xml:space="preserve">       участок 3-1</t>
  </si>
  <si>
    <t>Мощность поступающая в кольцо</t>
  </si>
  <si>
    <t xml:space="preserve">       участок 1-2</t>
  </si>
  <si>
    <t>Аналогичен расчету в радиальной схеме</t>
  </si>
  <si>
    <t xml:space="preserve">    Выбор проводов </t>
  </si>
  <si>
    <t>Выбор проводов производим по наиболие тяжелому послеаварийному режиму</t>
  </si>
  <si>
    <t>при обрыве участка 1-3</t>
  </si>
  <si>
    <t>при обрыве участка 1-4</t>
  </si>
  <si>
    <r>
      <rPr>
        <i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9"/>
        <color theme="1"/>
        <rFont val="Calibri"/>
        <family val="2"/>
        <charset val="204"/>
        <scheme val="minor"/>
      </rPr>
      <t>max п/а</t>
    </r>
    <r>
      <rPr>
        <sz val="11"/>
        <color theme="1"/>
        <rFont val="Calibri"/>
        <family val="2"/>
        <charset val="204"/>
        <scheme val="minor"/>
      </rPr>
      <t>=</t>
    </r>
  </si>
  <si>
    <t>Применение типовых схем распределительных устройств понижающих подстанций</t>
  </si>
  <si>
    <t>/О.А. Бушуева, А.А. Мартиросян - Изд. ГОУВПО ИГЭУ им. В.И. Ленина. - Иваново 2006/</t>
  </si>
  <si>
    <t xml:space="preserve">    Данные по схемам РУ ПС в соответствиии с [5]</t>
  </si>
  <si>
    <t>участок</t>
  </si>
  <si>
    <t xml:space="preserve">                Определение технико-экономических показателей электрической сети</t>
  </si>
  <si>
    <r>
      <t>U</t>
    </r>
    <r>
      <rPr>
        <sz val="8"/>
        <color theme="1"/>
        <rFont val="Calibri"/>
        <family val="2"/>
        <charset val="204"/>
        <scheme val="minor"/>
      </rPr>
      <t>ном</t>
    </r>
    <r>
      <rPr>
        <sz val="11"/>
        <color theme="1"/>
        <rFont val="Calibri"/>
        <family val="2"/>
        <charset val="204"/>
        <scheme val="minor"/>
      </rPr>
      <t>; кВ</t>
    </r>
  </si>
  <si>
    <t>Район ОЭС</t>
  </si>
  <si>
    <t xml:space="preserve">Марка </t>
  </si>
  <si>
    <t>провода</t>
  </si>
  <si>
    <t>кол-во</t>
  </si>
  <si>
    <t>цепей</t>
  </si>
  <si>
    <t>тип</t>
  </si>
  <si>
    <t>опор</t>
  </si>
  <si>
    <t>длинна</t>
  </si>
  <si>
    <t>линии</t>
  </si>
  <si>
    <t>1 км.</t>
  </si>
  <si>
    <t xml:space="preserve"> 1-2</t>
  </si>
  <si>
    <t xml:space="preserve"> 1-3</t>
  </si>
  <si>
    <t xml:space="preserve"> 1-4</t>
  </si>
  <si>
    <t xml:space="preserve"> 3-4</t>
  </si>
  <si>
    <t xml:space="preserve"> А-1</t>
  </si>
  <si>
    <t>Сибирь</t>
  </si>
  <si>
    <t xml:space="preserve">Капитальные вложения в воздушные линии сведены в таблицу </t>
  </si>
  <si>
    <t>АС-240/32</t>
  </si>
  <si>
    <t>АС - 95/16</t>
  </si>
  <si>
    <t>ст.</t>
  </si>
  <si>
    <t>ж/б</t>
  </si>
  <si>
    <t xml:space="preserve">сумма </t>
  </si>
  <si>
    <t>Итого</t>
  </si>
  <si>
    <t>Наименование и тип элементов ПС</t>
  </si>
  <si>
    <t xml:space="preserve">Капитальные вложения в ПС сведены в таблицу </t>
  </si>
  <si>
    <t>единици</t>
  </si>
  <si>
    <t>всего</t>
  </si>
  <si>
    <t>ТРДН-25000/110/10,5</t>
  </si>
  <si>
    <t>ТДН-16000/110/11</t>
  </si>
  <si>
    <t>ТДН-10000/110/11</t>
  </si>
  <si>
    <t>АТДЦТН-125000/220/110</t>
  </si>
  <si>
    <t>Радиальная сеть</t>
  </si>
  <si>
    <r>
      <t>U</t>
    </r>
    <r>
      <rPr>
        <sz val="8"/>
        <color theme="1"/>
        <rFont val="Calibri"/>
        <family val="2"/>
        <charset val="204"/>
        <scheme val="minor"/>
      </rPr>
      <t xml:space="preserve">ном    </t>
    </r>
    <r>
      <rPr>
        <sz val="11"/>
        <color theme="1"/>
        <rFont val="Calibri"/>
        <family val="2"/>
        <charset val="204"/>
        <scheme val="minor"/>
      </rPr>
      <t>кВ</t>
    </r>
  </si>
  <si>
    <t>марка</t>
  </si>
  <si>
    <t>число</t>
  </si>
  <si>
    <t>длина</t>
  </si>
  <si>
    <t>линии км</t>
  </si>
  <si>
    <t>1 км</t>
  </si>
  <si>
    <t>сумма</t>
  </si>
  <si>
    <t xml:space="preserve">Район </t>
  </si>
  <si>
    <t>ОЭС</t>
  </si>
  <si>
    <t>сибирь</t>
  </si>
  <si>
    <t>АС - 70/11</t>
  </si>
  <si>
    <t>Кап вложения в ЛЭП</t>
  </si>
  <si>
    <t>Капитальные вложения в ПС</t>
  </si>
  <si>
    <t>тыс.руб.</t>
  </si>
  <si>
    <t>Сумарные вложения</t>
  </si>
  <si>
    <r>
      <t xml:space="preserve">определим средневзвешенное время максимальных потерь </t>
    </r>
    <r>
      <rPr>
        <i/>
        <sz val="11"/>
        <color theme="1"/>
        <rFont val="Calibri"/>
        <family val="2"/>
        <charset val="204"/>
      </rPr>
      <t>τ</t>
    </r>
  </si>
  <si>
    <t>ч.</t>
  </si>
  <si>
    <t xml:space="preserve">Определение потерь мощности и энергии в электрических сетях. </t>
  </si>
  <si>
    <t>Методические указания /Бушуева О.А. Иван. гос. ин-т - Иваново 1990/</t>
  </si>
  <si>
    <t>затраты на возмещение потерь электроэнергии</t>
  </si>
  <si>
    <t>цена на электроэнергию</t>
  </si>
  <si>
    <t>расчетные потери электроэнергии в сети</t>
  </si>
  <si>
    <t>Ежегодные издержки на амортизацию и обслуживание ПС</t>
  </si>
  <si>
    <t>α - нормы отчислений на ремонты и обслуживание для ПС</t>
  </si>
  <si>
    <t>Ежегодные издержки на амортизацию и обслуживание ЛЭП</t>
  </si>
  <si>
    <t>сумарные издержки</t>
  </si>
  <si>
    <t>Зональный повышающий коэффициент на стоимость                        =</t>
  </si>
  <si>
    <t>Коэффициент удорожания Кдэф (дефирования) принимаем          =</t>
  </si>
  <si>
    <t>ДЗ   =</t>
  </si>
  <si>
    <t>Кольцевая сеть</t>
  </si>
  <si>
    <t xml:space="preserve"> 4-3</t>
  </si>
  <si>
    <t xml:space="preserve"> стоимость тыс. руб.</t>
  </si>
  <si>
    <t xml:space="preserve"> -  число выключателей</t>
  </si>
  <si>
    <t xml:space="preserve"> -  число подстанций</t>
  </si>
  <si>
    <r>
      <t>Зональный повышающий коэффициент на стоимость  k</t>
    </r>
    <r>
      <rPr>
        <sz val="8"/>
        <color theme="1"/>
        <rFont val="Calibri"/>
        <family val="2"/>
        <charset val="204"/>
        <scheme val="minor"/>
      </rPr>
      <t>уд.</t>
    </r>
    <r>
      <rPr>
        <sz val="10.5"/>
        <color theme="1"/>
        <rFont val="Calibri"/>
        <family val="2"/>
        <charset val="204"/>
        <scheme val="minor"/>
      </rPr>
      <t xml:space="preserve">               =</t>
    </r>
  </si>
  <si>
    <r>
      <t>Коэффициент удорожания К</t>
    </r>
    <r>
      <rPr>
        <sz val="8"/>
        <color theme="1"/>
        <rFont val="Calibri"/>
        <family val="2"/>
        <charset val="204"/>
        <scheme val="minor"/>
      </rPr>
      <t>дэф.</t>
    </r>
    <r>
      <rPr>
        <sz val="10.5"/>
        <color theme="1"/>
        <rFont val="Calibri"/>
        <family val="2"/>
        <charset val="204"/>
        <scheme val="minor"/>
      </rPr>
      <t xml:space="preserve"> (дефирования) принимаем          =</t>
    </r>
  </si>
  <si>
    <t>по[2 П2.10]</t>
  </si>
  <si>
    <t>составляющая стоимости оборудования по ПС</t>
  </si>
  <si>
    <t>составляющая стоимости оборудования по ВЛ</t>
  </si>
  <si>
    <r>
      <rPr>
        <sz val="11"/>
        <color theme="1"/>
        <rFont val="Calibri"/>
        <family val="2"/>
        <charset val="204"/>
      </rPr>
      <t xml:space="preserve">α - </t>
    </r>
    <r>
      <rPr>
        <sz val="11"/>
        <color theme="1"/>
        <rFont val="Calibri"/>
        <family val="2"/>
        <charset val="204"/>
        <scheme val="minor"/>
      </rPr>
      <t>нормы отчислений на ремонты и обслуживание для ВЛ</t>
    </r>
  </si>
  <si>
    <t>Сравнение технико-экономических показателей вариантов сети</t>
  </si>
  <si>
    <t>схема сети</t>
  </si>
  <si>
    <t>ДЗ тыс.руб.</t>
  </si>
  <si>
    <r>
      <t>К</t>
    </r>
    <r>
      <rPr>
        <sz val="6"/>
        <color theme="1"/>
        <rFont val="Calibri"/>
        <family val="2"/>
        <charset val="204"/>
        <scheme val="minor"/>
      </rPr>
      <t xml:space="preserve">ЛЭП </t>
    </r>
    <r>
      <rPr>
        <sz val="10"/>
        <color theme="1"/>
        <rFont val="Calibri"/>
        <family val="2"/>
        <charset val="204"/>
        <scheme val="minor"/>
      </rPr>
      <t>тыс.руб.</t>
    </r>
  </si>
  <si>
    <r>
      <t>К</t>
    </r>
    <r>
      <rPr>
        <sz val="6"/>
        <color theme="1"/>
        <rFont val="Calibri"/>
        <family val="2"/>
        <charset val="204"/>
        <scheme val="minor"/>
      </rPr>
      <t>ПС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"/>
        <color theme="1"/>
        <rFont val="Calibri"/>
        <family val="2"/>
        <charset val="204"/>
        <scheme val="minor"/>
      </rPr>
      <t>тыс.руб.</t>
    </r>
  </si>
  <si>
    <r>
      <t xml:space="preserve">И </t>
    </r>
    <r>
      <rPr>
        <sz val="10"/>
        <color theme="1"/>
        <rFont val="Calibri"/>
        <family val="2"/>
        <charset val="204"/>
        <scheme val="minor"/>
      </rPr>
      <t>тыс.руб.</t>
    </r>
  </si>
  <si>
    <t>радиальная</t>
  </si>
  <si>
    <t>кольцевая</t>
  </si>
  <si>
    <t>разница между вариантами составляет:</t>
  </si>
  <si>
    <r>
      <t xml:space="preserve">с кольцевой схемой, РУСН ПС1 радиальной схемы имеет на </t>
    </r>
    <r>
      <rPr>
        <sz val="10"/>
        <color theme="5" tint="-0.249977111117893"/>
        <rFont val="Calibri"/>
        <family val="2"/>
        <charset val="204"/>
      </rPr>
      <t>∆n</t>
    </r>
    <r>
      <rPr>
        <sz val="10"/>
        <color theme="5" tint="-0.249977111117893"/>
        <rFont val="Calibri"/>
        <family val="2"/>
        <charset val="204"/>
        <scheme val="minor"/>
      </rPr>
      <t xml:space="preserve"> выключателей больше.</t>
    </r>
  </si>
  <si>
    <t>принимаем во внимание то, что при стоительстве РУСН ПС1 радиальной схемы, по сравнению</t>
  </si>
  <si>
    <t xml:space="preserve">     кольцевой схемы</t>
  </si>
  <si>
    <t xml:space="preserve"> -  число выключателей на ПС</t>
  </si>
  <si>
    <t xml:space="preserve"> -  разница колличества выключателей РУСН ПС 1, для радиальной и </t>
  </si>
  <si>
    <t xml:space="preserve">   В дальнейшем проектировании будет рассматриваться</t>
  </si>
  <si>
    <t>Так как автотрансформатор не имеет возможности регулирования напряжения со стороны НН,</t>
  </si>
  <si>
    <t>Критерием выбора будет номинальная нагрузка со стороны НН ПС1</t>
  </si>
  <si>
    <t>необходимо выбрать и установить со стороны НН линейный регулировочный трансформатор.</t>
  </si>
  <si>
    <t>сответственно выбираем</t>
  </si>
  <si>
    <t>ЛТДН - 40000/10</t>
  </si>
  <si>
    <t>тип тр-ра</t>
  </si>
  <si>
    <r>
      <t>К</t>
    </r>
    <r>
      <rPr>
        <sz val="6"/>
        <color theme="1"/>
        <rFont val="Calibri"/>
        <family val="2"/>
        <charset val="204"/>
        <scheme val="minor"/>
      </rPr>
      <t>Т</t>
    </r>
  </si>
  <si>
    <t>шаг регулирования</t>
  </si>
  <si>
    <t xml:space="preserve">       предел регулирования</t>
  </si>
  <si>
    <t xml:space="preserve"> +/- 6х</t>
  </si>
  <si>
    <t xml:space="preserve"> +/- 10х</t>
  </si>
  <si>
    <t xml:space="preserve"> +/- 9х</t>
  </si>
  <si>
    <t>по напряжению, кВ</t>
  </si>
  <si>
    <t xml:space="preserve">                                таблица регулировочных характеристик выбранных трансформаторов</t>
  </si>
  <si>
    <t xml:space="preserve">                                таблица выбранного предела регулирования трансформаторов</t>
  </si>
  <si>
    <t>ПА1</t>
  </si>
  <si>
    <t>ПА2</t>
  </si>
  <si>
    <t>ПА3</t>
  </si>
  <si>
    <t>по коэф. трасформации</t>
  </si>
  <si>
    <t xml:space="preserve">     выбраная отпайка, предел регулирования, в режиме нагрузок:</t>
  </si>
  <si>
    <t>1. выключатели РУВН</t>
  </si>
  <si>
    <t>2. выключатели РУСН</t>
  </si>
  <si>
    <t>3. выключатели РУНН</t>
  </si>
  <si>
    <t>5. трансформатор ЛТДН - 40000/10</t>
  </si>
  <si>
    <t>4. трансформатор АТДЦТН - 125000/220/110</t>
  </si>
  <si>
    <t>6. постоянная часть затрат:</t>
  </si>
  <si>
    <t>сборные шины</t>
  </si>
  <si>
    <t>мостик</t>
  </si>
  <si>
    <t>7, СТК</t>
  </si>
  <si>
    <t>2. выключатели РУНН</t>
  </si>
  <si>
    <t>3. трансформатор ТРДН-25000/110/10,5</t>
  </si>
  <si>
    <t>4. постоянная часть затрат:</t>
  </si>
  <si>
    <t xml:space="preserve">   два блока с выключателем и неавтоматической </t>
  </si>
  <si>
    <t xml:space="preserve">    перемычкой со стороны линий</t>
  </si>
  <si>
    <t>3. трансформатор ТРДН-16000/110/11</t>
  </si>
  <si>
    <t xml:space="preserve">   мостик с выключателями в цепях линий </t>
  </si>
  <si>
    <t xml:space="preserve">    и ремонтной перемычкой со стороны линий </t>
  </si>
  <si>
    <t>Капитальные вложения в ПС безучета постоянной части затрат</t>
  </si>
  <si>
    <t>Сумарные вложения в сеть</t>
  </si>
  <si>
    <t xml:space="preserve">Суммарная max полная мощность сети  </t>
  </si>
  <si>
    <t>на первый год строительства</t>
  </si>
  <si>
    <t>полные расчетные потери электроэнергии в сети</t>
  </si>
  <si>
    <t>стоимость тыс. руб.</t>
  </si>
  <si>
    <t xml:space="preserve"> стоимость тыс.руб.</t>
  </si>
  <si>
    <t xml:space="preserve">               Расчет себестоимости передачи электроэнергии. Определение КПД сети</t>
  </si>
  <si>
    <t>суммарная энергия, потребляемая потребителем за год</t>
  </si>
  <si>
    <r>
      <t>коп./кВт.</t>
    </r>
    <r>
      <rPr>
        <sz val="11"/>
        <color theme="1"/>
        <rFont val="Calibri"/>
        <family val="2"/>
        <charset val="204"/>
      </rPr>
      <t>ч.</t>
    </r>
  </si>
  <si>
    <t xml:space="preserve">ДЗ   =  </t>
  </si>
  <si>
    <t>Вт</t>
  </si>
  <si>
    <t>средневзвешенный КПД сети</t>
  </si>
  <si>
    <t>максимальный КПД сети</t>
  </si>
  <si>
    <t xml:space="preserve">потери энергии в сети за год составляют </t>
  </si>
  <si>
    <t xml:space="preserve"> МВА </t>
  </si>
  <si>
    <t xml:space="preserve"> МВА</t>
  </si>
  <si>
    <t>ПА4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</si>
</sst>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0"/>
    <numFmt numFmtId="167" formatCode="#,##0.0"/>
    <numFmt numFmtId="168" formatCode="0.00000"/>
  </numFmts>
  <fonts count="62">
    <font>
      <sz val="11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1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</font>
    <font>
      <sz val="14"/>
      <color rgb="FF0070C0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theme="9" tint="-0.249977111117893"/>
      <name val="Calibri"/>
      <family val="2"/>
      <charset val="204"/>
    </font>
    <font>
      <b/>
      <sz val="11"/>
      <color theme="9" tint="-0.249977111117893"/>
      <name val="Calibri"/>
      <family val="2"/>
      <charset val="204"/>
      <scheme val="minor"/>
    </font>
    <font>
      <b/>
      <sz val="11"/>
      <color theme="4"/>
      <name val="Calibri"/>
      <family val="2"/>
      <charset val="204"/>
    </font>
    <font>
      <b/>
      <sz val="11"/>
      <color theme="4"/>
      <name val="Calibri"/>
      <family val="2"/>
      <charset val="204"/>
      <scheme val="minor"/>
    </font>
    <font>
      <b/>
      <sz val="11"/>
      <color rgb="FF00B050"/>
      <name val="Calibri"/>
      <family val="2"/>
      <charset val="204"/>
    </font>
    <font>
      <b/>
      <sz val="11"/>
      <color rgb="FF00B050"/>
      <name val="Calibri"/>
      <family val="2"/>
      <charset val="204"/>
      <scheme val="minor"/>
    </font>
    <font>
      <b/>
      <sz val="11"/>
      <color theme="5" tint="-0.499984740745262"/>
      <name val="Calibri"/>
      <family val="2"/>
      <charset val="204"/>
    </font>
    <font>
      <b/>
      <sz val="11"/>
      <color theme="5" tint="-0.49998474074526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11"/>
      <color theme="5"/>
      <name val="Calibri"/>
      <family val="2"/>
      <charset val="204"/>
      <scheme val="minor"/>
    </font>
    <font>
      <u/>
      <sz val="11"/>
      <color theme="4"/>
      <name val="Arial"/>
      <family val="2"/>
      <charset val="204"/>
    </font>
    <font>
      <sz val="11"/>
      <color theme="5" tint="-0.249977111117893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color theme="4"/>
      <name val="Calibri"/>
      <family val="2"/>
      <charset val="204"/>
      <scheme val="minor"/>
    </font>
    <font>
      <sz val="10"/>
      <color theme="4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sz val="11"/>
      <color rgb="FF953735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theme="6" tint="-0.249977111117893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0.5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</font>
    <font>
      <b/>
      <sz val="14"/>
      <color theme="5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0"/>
      <color theme="5" tint="-0.249977111117893"/>
      <name val="Calibri"/>
      <family val="2"/>
      <charset val="204"/>
      <scheme val="minor"/>
    </font>
    <font>
      <sz val="10"/>
      <color theme="5" tint="-0.249977111117893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1"/>
      <color rgb="FF00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FFC1"/>
        <bgColor indexed="64"/>
      </patternFill>
    </fill>
    <fill>
      <patternFill patternType="solid">
        <fgColor rgb="FFC8FF9F"/>
        <bgColor indexed="64"/>
      </patternFill>
    </fill>
    <fill>
      <patternFill patternType="solid">
        <fgColor rgb="FFE5FFD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16" fontId="1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16" fontId="0" fillId="2" borderId="0" xfId="0" applyNumberFormat="1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5" borderId="6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2" fillId="5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6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16" fontId="15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6" fontId="17" fillId="0" borderId="6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16" fontId="19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6" borderId="0" xfId="0" applyFill="1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center"/>
    </xf>
    <xf numFmtId="0" fontId="22" fillId="0" borderId="0" xfId="0" applyFont="1"/>
    <xf numFmtId="0" fontId="23" fillId="0" borderId="0" xfId="0" applyFont="1" applyBorder="1"/>
    <xf numFmtId="0" fontId="24" fillId="0" borderId="0" xfId="0" applyFont="1" applyBorder="1"/>
    <xf numFmtId="0" fontId="0" fillId="2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24" fillId="5" borderId="1" xfId="0" applyFont="1" applyFill="1" applyBorder="1" applyAlignment="1">
      <alignment horizontal="center"/>
    </xf>
    <xf numFmtId="0" fontId="24" fillId="5" borderId="10" xfId="0" applyFont="1" applyFill="1" applyBorder="1" applyAlignment="1">
      <alignment horizontal="center"/>
    </xf>
    <xf numFmtId="0" fontId="24" fillId="5" borderId="11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24" fillId="7" borderId="1" xfId="0" applyFont="1" applyFill="1" applyBorder="1" applyAlignment="1">
      <alignment horizontal="center"/>
    </xf>
    <xf numFmtId="16" fontId="24" fillId="7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1" fillId="0" borderId="0" xfId="0" applyFont="1"/>
    <xf numFmtId="0" fontId="20" fillId="0" borderId="0" xfId="0" applyFont="1"/>
    <xf numFmtId="0" fontId="11" fillId="0" borderId="0" xfId="0" applyFont="1"/>
    <xf numFmtId="0" fontId="25" fillId="0" borderId="0" xfId="0" applyFon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Border="1" applyAlignment="1">
      <alignment horizontal="righ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9" borderId="0" xfId="0" applyFont="1" applyFill="1" applyAlignment="1">
      <alignment horizontal="right"/>
    </xf>
    <xf numFmtId="0" fontId="7" fillId="0" borderId="0" xfId="0" applyFont="1"/>
    <xf numFmtId="0" fontId="26" fillId="0" borderId="0" xfId="0" applyFont="1"/>
    <xf numFmtId="0" fontId="10" fillId="0" borderId="0" xfId="0" applyFont="1" applyAlignment="1">
      <alignment horizontal="left"/>
    </xf>
    <xf numFmtId="0" fontId="0" fillId="0" borderId="0" xfId="0" applyNumberFormat="1"/>
    <xf numFmtId="0" fontId="27" fillId="0" borderId="0" xfId="0" applyFont="1"/>
    <xf numFmtId="0" fontId="29" fillId="5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30" fillId="0" borderId="5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1" xfId="0" applyBorder="1"/>
    <xf numFmtId="0" fontId="0" fillId="0" borderId="2" xfId="0" applyBorder="1"/>
    <xf numFmtId="0" fontId="0" fillId="0" borderId="15" xfId="0" applyBorder="1"/>
    <xf numFmtId="0" fontId="0" fillId="0" borderId="3" xfId="0" applyBorder="1"/>
    <xf numFmtId="0" fontId="0" fillId="0" borderId="10" xfId="0" applyBorder="1"/>
    <xf numFmtId="0" fontId="0" fillId="0" borderId="14" xfId="0" applyBorder="1"/>
    <xf numFmtId="0" fontId="31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Font="1"/>
    <xf numFmtId="0" fontId="0" fillId="0" borderId="4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9" xfId="0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34" fillId="0" borderId="0" xfId="0" applyFont="1"/>
    <xf numFmtId="0" fontId="17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2" fontId="0" fillId="0" borderId="0" xfId="0" applyNumberFormat="1" applyFill="1"/>
    <xf numFmtId="2" fontId="0" fillId="0" borderId="0" xfId="0" applyNumberFormat="1" applyFill="1" applyAlignment="1">
      <alignment horizontal="right"/>
    </xf>
    <xf numFmtId="0" fontId="39" fillId="0" borderId="0" xfId="0" applyFont="1" applyAlignment="1">
      <alignment horizontal="left"/>
    </xf>
    <xf numFmtId="0" fontId="29" fillId="0" borderId="0" xfId="0" applyFont="1"/>
    <xf numFmtId="164" fontId="0" fillId="0" borderId="0" xfId="0" applyNumberFormat="1"/>
    <xf numFmtId="0" fontId="42" fillId="0" borderId="0" xfId="0" applyFont="1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2" fontId="0" fillId="0" borderId="0" xfId="0" applyNumberFormat="1" applyAlignment="1">
      <alignment horizontal="right"/>
    </xf>
    <xf numFmtId="0" fontId="20" fillId="0" borderId="0" xfId="0" applyFont="1" applyAlignment="1">
      <alignment horizontal="right"/>
    </xf>
    <xf numFmtId="2" fontId="20" fillId="0" borderId="0" xfId="0" applyNumberFormat="1" applyFont="1"/>
    <xf numFmtId="0" fontId="46" fillId="0" borderId="0" xfId="0" applyFont="1"/>
    <xf numFmtId="0" fontId="0" fillId="10" borderId="1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47" fillId="0" borderId="0" xfId="0" applyFont="1" applyAlignment="1">
      <alignment horizontal="left"/>
    </xf>
    <xf numFmtId="0" fontId="0" fillId="0" borderId="0" xfId="0" applyAlignment="1"/>
    <xf numFmtId="0" fontId="5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49" fillId="0" borderId="0" xfId="0" applyFont="1"/>
    <xf numFmtId="0" fontId="38" fillId="0" borderId="10" xfId="0" applyFont="1" applyBorder="1"/>
    <xf numFmtId="0" fontId="0" fillId="0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1" fillId="0" borderId="10" xfId="0" applyFon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2" fontId="0" fillId="10" borderId="1" xfId="0" applyNumberFormat="1" applyFill="1" applyBorder="1" applyAlignment="1">
      <alignment horizontal="center"/>
    </xf>
    <xf numFmtId="0" fontId="51" fillId="0" borderId="0" xfId="0" applyFont="1"/>
    <xf numFmtId="0" fontId="0" fillId="0" borderId="8" xfId="0" applyBorder="1" applyAlignment="1">
      <alignment horizontal="left"/>
    </xf>
    <xf numFmtId="0" fontId="0" fillId="0" borderId="0" xfId="0" applyFont="1" applyAlignment="1">
      <alignment horizontal="center"/>
    </xf>
    <xf numFmtId="16" fontId="0" fillId="5" borderId="1" xfId="0" applyNumberFormat="1" applyFill="1" applyBorder="1" applyAlignment="1">
      <alignment horizontal="center"/>
    </xf>
    <xf numFmtId="0" fontId="48" fillId="0" borderId="0" xfId="0" applyFont="1"/>
    <xf numFmtId="0" fontId="52" fillId="0" borderId="0" xfId="0" applyFont="1"/>
    <xf numFmtId="0" fontId="0" fillId="11" borderId="0" xfId="0" applyFill="1"/>
    <xf numFmtId="0" fontId="53" fillId="0" borderId="0" xfId="0" applyFont="1"/>
    <xf numFmtId="0" fontId="0" fillId="12" borderId="0" xfId="0" applyFill="1"/>
    <xf numFmtId="0" fontId="0" fillId="12" borderId="0" xfId="0" applyFill="1" applyAlignment="1">
      <alignment horizontal="center"/>
    </xf>
    <xf numFmtId="0" fontId="0" fillId="12" borderId="0" xfId="0" applyFont="1" applyFill="1"/>
    <xf numFmtId="0" fontId="54" fillId="12" borderId="0" xfId="0" applyFont="1" applyFill="1"/>
    <xf numFmtId="0" fontId="54" fillId="11" borderId="0" xfId="0" applyFont="1" applyFill="1" applyBorder="1" applyAlignment="1">
      <alignment horizontal="left"/>
    </xf>
    <xf numFmtId="4" fontId="0" fillId="0" borderId="0" xfId="0" applyNumberFormat="1"/>
    <xf numFmtId="3" fontId="0" fillId="5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8" borderId="6" xfId="0" applyFill="1" applyBorder="1" applyAlignment="1">
      <alignment horizontal="center"/>
    </xf>
    <xf numFmtId="3" fontId="0" fillId="8" borderId="6" xfId="0" applyNumberFormat="1" applyFill="1" applyBorder="1" applyAlignment="1">
      <alignment horizontal="center"/>
    </xf>
    <xf numFmtId="0" fontId="20" fillId="13" borderId="1" xfId="0" applyFont="1" applyFill="1" applyBorder="1" applyAlignment="1">
      <alignment horizontal="center"/>
    </xf>
    <xf numFmtId="0" fontId="0" fillId="11" borderId="0" xfId="0" applyFont="1" applyFill="1"/>
    <xf numFmtId="0" fontId="56" fillId="0" borderId="0" xfId="0" applyFont="1"/>
    <xf numFmtId="0" fontId="3" fillId="0" borderId="1" xfId="0" applyFont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5" fontId="0" fillId="0" borderId="0" xfId="0" applyNumberFormat="1"/>
    <xf numFmtId="0" fontId="58" fillId="0" borderId="0" xfId="0" applyFont="1"/>
    <xf numFmtId="165" fontId="0" fillId="10" borderId="1" xfId="0" applyNumberFormat="1" applyFill="1" applyBorder="1" applyAlignment="1">
      <alignment horizontal="center"/>
    </xf>
    <xf numFmtId="0" fontId="33" fillId="5" borderId="1" xfId="0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0" fillId="0" borderId="7" xfId="0" applyBorder="1"/>
    <xf numFmtId="0" fontId="0" fillId="0" borderId="12" xfId="0" applyBorder="1"/>
    <xf numFmtId="0" fontId="0" fillId="0" borderId="8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30" fillId="0" borderId="5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1" xfId="0" applyBorder="1"/>
    <xf numFmtId="0" fontId="0" fillId="0" borderId="2" xfId="0" applyBorder="1"/>
    <xf numFmtId="0" fontId="0" fillId="0" borderId="15" xfId="0" applyBorder="1"/>
    <xf numFmtId="0" fontId="0" fillId="0" borderId="3" xfId="0" applyBorder="1"/>
    <xf numFmtId="0" fontId="0" fillId="0" borderId="10" xfId="0" applyBorder="1"/>
    <xf numFmtId="0" fontId="0" fillId="0" borderId="14" xfId="0" applyBorder="1"/>
    <xf numFmtId="0" fontId="31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Font="1"/>
    <xf numFmtId="0" fontId="0" fillId="0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2" fontId="0" fillId="10" borderId="1" xfId="0" applyNumberForma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0" fontId="33" fillId="5" borderId="1" xfId="0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0" fillId="0" borderId="6" xfId="0" applyBorder="1"/>
    <xf numFmtId="0" fontId="3" fillId="0" borderId="10" xfId="0" applyFont="1" applyBorder="1"/>
    <xf numFmtId="0" fontId="3" fillId="0" borderId="14" xfId="0" applyFont="1" applyBorder="1"/>
    <xf numFmtId="0" fontId="0" fillId="5" borderId="7" xfId="0" applyFill="1" applyBorder="1"/>
    <xf numFmtId="0" fontId="2" fillId="5" borderId="12" xfId="0" applyFont="1" applyFill="1" applyBorder="1"/>
    <xf numFmtId="0" fontId="0" fillId="5" borderId="12" xfId="0" applyFill="1" applyBorder="1"/>
    <xf numFmtId="0" fontId="0" fillId="5" borderId="8" xfId="0" applyFill="1" applyBorder="1"/>
    <xf numFmtId="0" fontId="0" fillId="10" borderId="7" xfId="0" applyFill="1" applyBorder="1"/>
    <xf numFmtId="0" fontId="0" fillId="10" borderId="12" xfId="0" applyFill="1" applyBorder="1"/>
    <xf numFmtId="0" fontId="0" fillId="10" borderId="8" xfId="0" applyFill="1" applyBorder="1"/>
    <xf numFmtId="0" fontId="30" fillId="0" borderId="4" xfId="0" applyFont="1" applyBorder="1" applyAlignment="1">
      <alignment horizontal="center"/>
    </xf>
    <xf numFmtId="0" fontId="32" fillId="5" borderId="7" xfId="0" applyFont="1" applyFill="1" applyBorder="1" applyAlignment="1">
      <alignment horizontal="center"/>
    </xf>
    <xf numFmtId="0" fontId="33" fillId="10" borderId="7" xfId="0" applyFont="1" applyFill="1" applyBorder="1" applyAlignment="1">
      <alignment horizontal="center"/>
    </xf>
    <xf numFmtId="0" fontId="33" fillId="5" borderId="7" xfId="0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0" xfId="0" applyBorder="1"/>
    <xf numFmtId="0" fontId="0" fillId="5" borderId="7" xfId="0" applyFill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30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2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0" fillId="0" borderId="0" xfId="0" applyNumberFormat="1" applyFill="1" applyBorder="1"/>
    <xf numFmtId="164" fontId="0" fillId="0" borderId="0" xfId="0" applyNumberForma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6" fontId="0" fillId="10" borderId="12" xfId="0" applyNumberFormat="1" applyFill="1" applyBorder="1" applyAlignment="1">
      <alignment horizontal="center"/>
    </xf>
    <xf numFmtId="166" fontId="0" fillId="5" borderId="12" xfId="0" applyNumberFormat="1" applyFill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5" xfId="0" applyFill="1" applyBorder="1" applyAlignment="1">
      <alignment horizontal="center"/>
    </xf>
    <xf numFmtId="0" fontId="0" fillId="0" borderId="13" xfId="0" applyFill="1" applyBorder="1" applyAlignment="1">
      <alignment horizontal="left"/>
    </xf>
    <xf numFmtId="0" fontId="60" fillId="5" borderId="13" xfId="0" applyFont="1" applyFill="1" applyBorder="1"/>
    <xf numFmtId="0" fontId="0" fillId="5" borderId="0" xfId="0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61" fillId="5" borderId="1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60" fillId="0" borderId="13" xfId="0" applyFont="1" applyFill="1" applyBorder="1"/>
    <xf numFmtId="0" fontId="0" fillId="5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11" borderId="0" xfId="0" applyFill="1" applyAlignment="1">
      <alignment horizontal="center"/>
    </xf>
    <xf numFmtId="0" fontId="0" fillId="12" borderId="0" xfId="0" applyFill="1" applyBorder="1" applyAlignment="1">
      <alignment horizontal="center"/>
    </xf>
    <xf numFmtId="167" fontId="0" fillId="5" borderId="5" xfId="0" applyNumberForma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167" fontId="0" fillId="0" borderId="0" xfId="0" applyNumberFormat="1"/>
    <xf numFmtId="3" fontId="0" fillId="0" borderId="0" xfId="0" applyNumberFormat="1" applyAlignment="1">
      <alignment horizontal="center"/>
    </xf>
    <xf numFmtId="3" fontId="0" fillId="0" borderId="7" xfId="0" applyNumberFormat="1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5" borderId="5" xfId="0" applyNumberForma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3" fontId="0" fillId="0" borderId="5" xfId="0" applyNumberFormat="1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3" fontId="0" fillId="11" borderId="0" xfId="0" applyNumberFormat="1" applyFill="1"/>
    <xf numFmtId="3" fontId="0" fillId="12" borderId="0" xfId="0" applyNumberFormat="1" applyFill="1"/>
    <xf numFmtId="168" fontId="0" fillId="0" borderId="0" xfId="0" applyNumberFormat="1"/>
    <xf numFmtId="166" fontId="0" fillId="0" borderId="0" xfId="0" applyNumberFormat="1"/>
    <xf numFmtId="0" fontId="39" fillId="0" borderId="0" xfId="0" applyFont="1" applyAlignment="1"/>
    <xf numFmtId="168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3" fontId="0" fillId="0" borderId="0" xfId="0" quotePrefix="1" applyNumberFormat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5FFD1"/>
      <color rgb="FFFFFFCC"/>
      <color rgb="FFC8FF9F"/>
      <color rgb="FFF20000"/>
      <color rgb="FFF6FFD9"/>
      <color rgb="FFF2F7E1"/>
      <color rgb="FFDCFFC1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13" Type="http://schemas.openxmlformats.org/officeDocument/2006/relationships/image" Target="../media/image42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12" Type="http://schemas.openxmlformats.org/officeDocument/2006/relationships/image" Target="../media/image41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40.png"/><Relationship Id="rId5" Type="http://schemas.openxmlformats.org/officeDocument/2006/relationships/image" Target="../media/image34.png"/><Relationship Id="rId15" Type="http://schemas.openxmlformats.org/officeDocument/2006/relationships/image" Target="../media/image44.png"/><Relationship Id="rId10" Type="http://schemas.openxmlformats.org/officeDocument/2006/relationships/image" Target="../media/image39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Relationship Id="rId14" Type="http://schemas.openxmlformats.org/officeDocument/2006/relationships/image" Target="../media/image4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4" Type="http://schemas.openxmlformats.org/officeDocument/2006/relationships/image" Target="../media/image5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png"/><Relationship Id="rId13" Type="http://schemas.openxmlformats.org/officeDocument/2006/relationships/image" Target="../media/image71.png"/><Relationship Id="rId18" Type="http://schemas.openxmlformats.org/officeDocument/2006/relationships/image" Target="../media/image76.png"/><Relationship Id="rId26" Type="http://schemas.openxmlformats.org/officeDocument/2006/relationships/image" Target="../media/image84.png"/><Relationship Id="rId39" Type="http://schemas.openxmlformats.org/officeDocument/2006/relationships/image" Target="../media/image97.png"/><Relationship Id="rId3" Type="http://schemas.openxmlformats.org/officeDocument/2006/relationships/image" Target="../media/image61.png"/><Relationship Id="rId21" Type="http://schemas.openxmlformats.org/officeDocument/2006/relationships/image" Target="../media/image79.png"/><Relationship Id="rId34" Type="http://schemas.openxmlformats.org/officeDocument/2006/relationships/image" Target="../media/image92.png"/><Relationship Id="rId7" Type="http://schemas.openxmlformats.org/officeDocument/2006/relationships/image" Target="../media/image65.png"/><Relationship Id="rId12" Type="http://schemas.openxmlformats.org/officeDocument/2006/relationships/image" Target="../media/image70.png"/><Relationship Id="rId17" Type="http://schemas.openxmlformats.org/officeDocument/2006/relationships/image" Target="../media/image75.png"/><Relationship Id="rId25" Type="http://schemas.openxmlformats.org/officeDocument/2006/relationships/image" Target="../media/image83.png"/><Relationship Id="rId33" Type="http://schemas.openxmlformats.org/officeDocument/2006/relationships/image" Target="../media/image91.png"/><Relationship Id="rId38" Type="http://schemas.openxmlformats.org/officeDocument/2006/relationships/image" Target="../media/image96.png"/><Relationship Id="rId2" Type="http://schemas.openxmlformats.org/officeDocument/2006/relationships/image" Target="../media/image60.png"/><Relationship Id="rId16" Type="http://schemas.openxmlformats.org/officeDocument/2006/relationships/image" Target="../media/image74.png"/><Relationship Id="rId20" Type="http://schemas.openxmlformats.org/officeDocument/2006/relationships/image" Target="../media/image78.png"/><Relationship Id="rId29" Type="http://schemas.openxmlformats.org/officeDocument/2006/relationships/image" Target="../media/image87.png"/><Relationship Id="rId1" Type="http://schemas.openxmlformats.org/officeDocument/2006/relationships/image" Target="../media/image59.png"/><Relationship Id="rId6" Type="http://schemas.openxmlformats.org/officeDocument/2006/relationships/image" Target="../media/image64.png"/><Relationship Id="rId11" Type="http://schemas.openxmlformats.org/officeDocument/2006/relationships/image" Target="../media/image69.png"/><Relationship Id="rId24" Type="http://schemas.openxmlformats.org/officeDocument/2006/relationships/image" Target="../media/image82.png"/><Relationship Id="rId32" Type="http://schemas.openxmlformats.org/officeDocument/2006/relationships/image" Target="../media/image90.png"/><Relationship Id="rId37" Type="http://schemas.openxmlformats.org/officeDocument/2006/relationships/image" Target="../media/image95.png"/><Relationship Id="rId5" Type="http://schemas.openxmlformats.org/officeDocument/2006/relationships/image" Target="../media/image63.png"/><Relationship Id="rId15" Type="http://schemas.openxmlformats.org/officeDocument/2006/relationships/image" Target="../media/image73.png"/><Relationship Id="rId23" Type="http://schemas.openxmlformats.org/officeDocument/2006/relationships/image" Target="../media/image81.png"/><Relationship Id="rId28" Type="http://schemas.openxmlformats.org/officeDocument/2006/relationships/image" Target="../media/image86.png"/><Relationship Id="rId36" Type="http://schemas.openxmlformats.org/officeDocument/2006/relationships/image" Target="../media/image94.png"/><Relationship Id="rId10" Type="http://schemas.openxmlformats.org/officeDocument/2006/relationships/image" Target="../media/image68.png"/><Relationship Id="rId19" Type="http://schemas.openxmlformats.org/officeDocument/2006/relationships/image" Target="../media/image77.png"/><Relationship Id="rId31" Type="http://schemas.openxmlformats.org/officeDocument/2006/relationships/image" Target="../media/image89.png"/><Relationship Id="rId4" Type="http://schemas.openxmlformats.org/officeDocument/2006/relationships/image" Target="../media/image62.png"/><Relationship Id="rId9" Type="http://schemas.openxmlformats.org/officeDocument/2006/relationships/image" Target="../media/image67.png"/><Relationship Id="rId14" Type="http://schemas.openxmlformats.org/officeDocument/2006/relationships/image" Target="../media/image72.png"/><Relationship Id="rId22" Type="http://schemas.openxmlformats.org/officeDocument/2006/relationships/image" Target="../media/image80.png"/><Relationship Id="rId27" Type="http://schemas.openxmlformats.org/officeDocument/2006/relationships/image" Target="../media/image85.png"/><Relationship Id="rId30" Type="http://schemas.openxmlformats.org/officeDocument/2006/relationships/image" Target="../media/image88.png"/><Relationship Id="rId35" Type="http://schemas.openxmlformats.org/officeDocument/2006/relationships/image" Target="../media/image9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13" Type="http://schemas.openxmlformats.org/officeDocument/2006/relationships/image" Target="../media/image101.png"/><Relationship Id="rId18" Type="http://schemas.openxmlformats.org/officeDocument/2006/relationships/image" Target="../media/image106.png"/><Relationship Id="rId3" Type="http://schemas.openxmlformats.org/officeDocument/2006/relationships/image" Target="../media/image100.png"/><Relationship Id="rId21" Type="http://schemas.openxmlformats.org/officeDocument/2006/relationships/image" Target="../media/image109.png"/><Relationship Id="rId7" Type="http://schemas.openxmlformats.org/officeDocument/2006/relationships/image" Target="../media/image79.png"/><Relationship Id="rId12" Type="http://schemas.openxmlformats.org/officeDocument/2006/relationships/image" Target="../media/image88.png"/><Relationship Id="rId17" Type="http://schemas.openxmlformats.org/officeDocument/2006/relationships/image" Target="../media/image105.png"/><Relationship Id="rId2" Type="http://schemas.openxmlformats.org/officeDocument/2006/relationships/image" Target="../media/image99.png"/><Relationship Id="rId16" Type="http://schemas.openxmlformats.org/officeDocument/2006/relationships/image" Target="../media/image104.png"/><Relationship Id="rId20" Type="http://schemas.openxmlformats.org/officeDocument/2006/relationships/image" Target="../media/image108.png"/><Relationship Id="rId1" Type="http://schemas.openxmlformats.org/officeDocument/2006/relationships/image" Target="../media/image98.png"/><Relationship Id="rId6" Type="http://schemas.openxmlformats.org/officeDocument/2006/relationships/image" Target="../media/image77.png"/><Relationship Id="rId11" Type="http://schemas.openxmlformats.org/officeDocument/2006/relationships/image" Target="../media/image85.png"/><Relationship Id="rId24" Type="http://schemas.openxmlformats.org/officeDocument/2006/relationships/image" Target="../media/image112.png"/><Relationship Id="rId5" Type="http://schemas.openxmlformats.org/officeDocument/2006/relationships/image" Target="../media/image76.png"/><Relationship Id="rId15" Type="http://schemas.openxmlformats.org/officeDocument/2006/relationships/image" Target="../media/image103.png"/><Relationship Id="rId23" Type="http://schemas.openxmlformats.org/officeDocument/2006/relationships/image" Target="../media/image111.png"/><Relationship Id="rId10" Type="http://schemas.openxmlformats.org/officeDocument/2006/relationships/image" Target="../media/image82.png"/><Relationship Id="rId19" Type="http://schemas.openxmlformats.org/officeDocument/2006/relationships/image" Target="../media/image107.png"/><Relationship Id="rId4" Type="http://schemas.openxmlformats.org/officeDocument/2006/relationships/image" Target="../media/image75.png"/><Relationship Id="rId9" Type="http://schemas.openxmlformats.org/officeDocument/2006/relationships/image" Target="../media/image81.png"/><Relationship Id="rId14" Type="http://schemas.openxmlformats.org/officeDocument/2006/relationships/image" Target="../media/image102.png"/><Relationship Id="rId22" Type="http://schemas.openxmlformats.org/officeDocument/2006/relationships/image" Target="../media/image110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3.png"/><Relationship Id="rId18" Type="http://schemas.openxmlformats.org/officeDocument/2006/relationships/image" Target="../media/image124.png"/><Relationship Id="rId26" Type="http://schemas.openxmlformats.org/officeDocument/2006/relationships/image" Target="../media/image77.png"/><Relationship Id="rId39" Type="http://schemas.openxmlformats.org/officeDocument/2006/relationships/image" Target="../media/image87.png"/><Relationship Id="rId21" Type="http://schemas.openxmlformats.org/officeDocument/2006/relationships/image" Target="../media/image72.png"/><Relationship Id="rId34" Type="http://schemas.openxmlformats.org/officeDocument/2006/relationships/image" Target="../media/image67.png"/><Relationship Id="rId42" Type="http://schemas.openxmlformats.org/officeDocument/2006/relationships/image" Target="../media/image91.png"/><Relationship Id="rId47" Type="http://schemas.openxmlformats.org/officeDocument/2006/relationships/image" Target="../media/image95.png"/><Relationship Id="rId50" Type="http://schemas.openxmlformats.org/officeDocument/2006/relationships/image" Target="../media/image84.png"/><Relationship Id="rId55" Type="http://schemas.openxmlformats.org/officeDocument/2006/relationships/image" Target="../media/image81.png"/><Relationship Id="rId7" Type="http://schemas.openxmlformats.org/officeDocument/2006/relationships/image" Target="../media/image117.png"/><Relationship Id="rId12" Type="http://schemas.openxmlformats.org/officeDocument/2006/relationships/image" Target="../media/image88.png"/><Relationship Id="rId17" Type="http://schemas.openxmlformats.org/officeDocument/2006/relationships/image" Target="../media/image123.png"/><Relationship Id="rId25" Type="http://schemas.openxmlformats.org/officeDocument/2006/relationships/image" Target="../media/image76.png"/><Relationship Id="rId33" Type="http://schemas.openxmlformats.org/officeDocument/2006/relationships/image" Target="../media/image65.png"/><Relationship Id="rId38" Type="http://schemas.openxmlformats.org/officeDocument/2006/relationships/image" Target="../media/image86.png"/><Relationship Id="rId46" Type="http://schemas.openxmlformats.org/officeDocument/2006/relationships/image" Target="../media/image70.png"/><Relationship Id="rId2" Type="http://schemas.openxmlformats.org/officeDocument/2006/relationships/image" Target="../media/image114.png"/><Relationship Id="rId16" Type="http://schemas.openxmlformats.org/officeDocument/2006/relationships/image" Target="../media/image122.png"/><Relationship Id="rId20" Type="http://schemas.openxmlformats.org/officeDocument/2006/relationships/image" Target="../media/image71.png"/><Relationship Id="rId29" Type="http://schemas.openxmlformats.org/officeDocument/2006/relationships/image" Target="../media/image61.png"/><Relationship Id="rId41" Type="http://schemas.openxmlformats.org/officeDocument/2006/relationships/image" Target="../media/image90.png"/><Relationship Id="rId54" Type="http://schemas.openxmlformats.org/officeDocument/2006/relationships/image" Target="../media/image80.png"/><Relationship Id="rId1" Type="http://schemas.openxmlformats.org/officeDocument/2006/relationships/image" Target="../media/image113.png"/><Relationship Id="rId6" Type="http://schemas.openxmlformats.org/officeDocument/2006/relationships/image" Target="../media/image99.png"/><Relationship Id="rId11" Type="http://schemas.openxmlformats.org/officeDocument/2006/relationships/image" Target="../media/image121.png"/><Relationship Id="rId24" Type="http://schemas.openxmlformats.org/officeDocument/2006/relationships/image" Target="../media/image75.png"/><Relationship Id="rId32" Type="http://schemas.openxmlformats.org/officeDocument/2006/relationships/image" Target="../media/image64.png"/><Relationship Id="rId37" Type="http://schemas.openxmlformats.org/officeDocument/2006/relationships/image" Target="../media/image82.png"/><Relationship Id="rId40" Type="http://schemas.openxmlformats.org/officeDocument/2006/relationships/image" Target="../media/image89.png"/><Relationship Id="rId45" Type="http://schemas.openxmlformats.org/officeDocument/2006/relationships/image" Target="../media/image94.png"/><Relationship Id="rId53" Type="http://schemas.openxmlformats.org/officeDocument/2006/relationships/image" Target="../media/image79.png"/><Relationship Id="rId5" Type="http://schemas.openxmlformats.org/officeDocument/2006/relationships/image" Target="../media/image98.png"/><Relationship Id="rId15" Type="http://schemas.openxmlformats.org/officeDocument/2006/relationships/image" Target="../media/image110.png"/><Relationship Id="rId23" Type="http://schemas.openxmlformats.org/officeDocument/2006/relationships/image" Target="../media/image74.png"/><Relationship Id="rId28" Type="http://schemas.openxmlformats.org/officeDocument/2006/relationships/image" Target="../media/image59.png"/><Relationship Id="rId36" Type="http://schemas.openxmlformats.org/officeDocument/2006/relationships/image" Target="../media/image78.png"/><Relationship Id="rId49" Type="http://schemas.openxmlformats.org/officeDocument/2006/relationships/image" Target="../media/image97.png"/><Relationship Id="rId10" Type="http://schemas.openxmlformats.org/officeDocument/2006/relationships/image" Target="../media/image120.png"/><Relationship Id="rId19" Type="http://schemas.openxmlformats.org/officeDocument/2006/relationships/image" Target="../media/image69.png"/><Relationship Id="rId31" Type="http://schemas.openxmlformats.org/officeDocument/2006/relationships/image" Target="../media/image63.png"/><Relationship Id="rId44" Type="http://schemas.openxmlformats.org/officeDocument/2006/relationships/image" Target="../media/image93.png"/><Relationship Id="rId52" Type="http://schemas.openxmlformats.org/officeDocument/2006/relationships/image" Target="../media/image85.png"/><Relationship Id="rId4" Type="http://schemas.openxmlformats.org/officeDocument/2006/relationships/image" Target="../media/image116.png"/><Relationship Id="rId9" Type="http://schemas.openxmlformats.org/officeDocument/2006/relationships/image" Target="../media/image119.png"/><Relationship Id="rId14" Type="http://schemas.openxmlformats.org/officeDocument/2006/relationships/image" Target="../media/image104.png"/><Relationship Id="rId22" Type="http://schemas.openxmlformats.org/officeDocument/2006/relationships/image" Target="../media/image73.png"/><Relationship Id="rId27" Type="http://schemas.openxmlformats.org/officeDocument/2006/relationships/image" Target="../media/image60.png"/><Relationship Id="rId30" Type="http://schemas.openxmlformats.org/officeDocument/2006/relationships/image" Target="../media/image62.png"/><Relationship Id="rId35" Type="http://schemas.openxmlformats.org/officeDocument/2006/relationships/image" Target="../media/image68.png"/><Relationship Id="rId43" Type="http://schemas.openxmlformats.org/officeDocument/2006/relationships/image" Target="../media/image92.png"/><Relationship Id="rId48" Type="http://schemas.openxmlformats.org/officeDocument/2006/relationships/image" Target="../media/image96.png"/><Relationship Id="rId8" Type="http://schemas.openxmlformats.org/officeDocument/2006/relationships/image" Target="../media/image118.png"/><Relationship Id="rId51" Type="http://schemas.openxmlformats.org/officeDocument/2006/relationships/image" Target="../media/image83.png"/><Relationship Id="rId3" Type="http://schemas.openxmlformats.org/officeDocument/2006/relationships/image" Target="../media/image1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3.png"/><Relationship Id="rId13" Type="http://schemas.openxmlformats.org/officeDocument/2006/relationships/image" Target="../media/image138.png"/><Relationship Id="rId18" Type="http://schemas.openxmlformats.org/officeDocument/2006/relationships/image" Target="../media/image143.png"/><Relationship Id="rId3" Type="http://schemas.openxmlformats.org/officeDocument/2006/relationships/image" Target="../media/image128.png"/><Relationship Id="rId7" Type="http://schemas.openxmlformats.org/officeDocument/2006/relationships/image" Target="../media/image132.png"/><Relationship Id="rId12" Type="http://schemas.openxmlformats.org/officeDocument/2006/relationships/image" Target="../media/image137.png"/><Relationship Id="rId17" Type="http://schemas.openxmlformats.org/officeDocument/2006/relationships/image" Target="../media/image142.png"/><Relationship Id="rId2" Type="http://schemas.openxmlformats.org/officeDocument/2006/relationships/image" Target="../media/image127.png"/><Relationship Id="rId16" Type="http://schemas.openxmlformats.org/officeDocument/2006/relationships/image" Target="../media/image141.png"/><Relationship Id="rId1" Type="http://schemas.openxmlformats.org/officeDocument/2006/relationships/image" Target="../media/image126.png"/><Relationship Id="rId6" Type="http://schemas.openxmlformats.org/officeDocument/2006/relationships/image" Target="../media/image131.png"/><Relationship Id="rId11" Type="http://schemas.openxmlformats.org/officeDocument/2006/relationships/image" Target="../media/image136.png"/><Relationship Id="rId5" Type="http://schemas.openxmlformats.org/officeDocument/2006/relationships/image" Target="../media/image130.png"/><Relationship Id="rId15" Type="http://schemas.openxmlformats.org/officeDocument/2006/relationships/image" Target="../media/image140.png"/><Relationship Id="rId10" Type="http://schemas.openxmlformats.org/officeDocument/2006/relationships/image" Target="../media/image135.png"/><Relationship Id="rId19" Type="http://schemas.openxmlformats.org/officeDocument/2006/relationships/image" Target="../media/image144.png"/><Relationship Id="rId4" Type="http://schemas.openxmlformats.org/officeDocument/2006/relationships/image" Target="../media/image129.png"/><Relationship Id="rId9" Type="http://schemas.openxmlformats.org/officeDocument/2006/relationships/image" Target="../media/image134.png"/><Relationship Id="rId14" Type="http://schemas.openxmlformats.org/officeDocument/2006/relationships/image" Target="../media/image13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2.png"/><Relationship Id="rId3" Type="http://schemas.openxmlformats.org/officeDocument/2006/relationships/image" Target="../media/image57.png"/><Relationship Id="rId7" Type="http://schemas.openxmlformats.org/officeDocument/2006/relationships/image" Target="../media/image151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150.png"/><Relationship Id="rId5" Type="http://schemas.openxmlformats.org/officeDocument/2006/relationships/image" Target="../media/image149.png"/><Relationship Id="rId10" Type="http://schemas.openxmlformats.org/officeDocument/2006/relationships/image" Target="../media/image154.png"/><Relationship Id="rId4" Type="http://schemas.openxmlformats.org/officeDocument/2006/relationships/image" Target="../media/image58.png"/><Relationship Id="rId9" Type="http://schemas.openxmlformats.org/officeDocument/2006/relationships/image" Target="../media/image153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7.png"/><Relationship Id="rId13" Type="http://schemas.openxmlformats.org/officeDocument/2006/relationships/image" Target="../media/image162.png"/><Relationship Id="rId3" Type="http://schemas.openxmlformats.org/officeDocument/2006/relationships/image" Target="../media/image135.png"/><Relationship Id="rId7" Type="http://schemas.openxmlformats.org/officeDocument/2006/relationships/image" Target="../media/image156.png"/><Relationship Id="rId12" Type="http://schemas.openxmlformats.org/officeDocument/2006/relationships/image" Target="../media/image161.png"/><Relationship Id="rId2" Type="http://schemas.openxmlformats.org/officeDocument/2006/relationships/image" Target="../media/image132.png"/><Relationship Id="rId1" Type="http://schemas.openxmlformats.org/officeDocument/2006/relationships/image" Target="../media/image128.png"/><Relationship Id="rId6" Type="http://schemas.openxmlformats.org/officeDocument/2006/relationships/image" Target="../media/image155.png"/><Relationship Id="rId11" Type="http://schemas.openxmlformats.org/officeDocument/2006/relationships/image" Target="../media/image160.png"/><Relationship Id="rId5" Type="http://schemas.openxmlformats.org/officeDocument/2006/relationships/image" Target="../media/image139.png"/><Relationship Id="rId15" Type="http://schemas.openxmlformats.org/officeDocument/2006/relationships/image" Target="../media/image164.png"/><Relationship Id="rId10" Type="http://schemas.openxmlformats.org/officeDocument/2006/relationships/image" Target="../media/image159.png"/><Relationship Id="rId4" Type="http://schemas.openxmlformats.org/officeDocument/2006/relationships/image" Target="../media/image136.png"/><Relationship Id="rId9" Type="http://schemas.openxmlformats.org/officeDocument/2006/relationships/image" Target="../media/image158.png"/><Relationship Id="rId14" Type="http://schemas.openxmlformats.org/officeDocument/2006/relationships/image" Target="../media/image16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2.wmf"/><Relationship Id="rId3" Type="http://schemas.openxmlformats.org/officeDocument/2006/relationships/image" Target="../media/image47.wmf"/><Relationship Id="rId7" Type="http://schemas.openxmlformats.org/officeDocument/2006/relationships/image" Target="../media/image51.wmf"/><Relationship Id="rId2" Type="http://schemas.openxmlformats.org/officeDocument/2006/relationships/image" Target="../media/image46.wmf"/><Relationship Id="rId1" Type="http://schemas.openxmlformats.org/officeDocument/2006/relationships/image" Target="../media/image45.wmf"/><Relationship Id="rId6" Type="http://schemas.openxmlformats.org/officeDocument/2006/relationships/image" Target="../media/image50.wmf"/><Relationship Id="rId5" Type="http://schemas.openxmlformats.org/officeDocument/2006/relationships/image" Target="../media/image49.wmf"/><Relationship Id="rId10" Type="http://schemas.openxmlformats.org/officeDocument/2006/relationships/image" Target="../media/image54.wmf"/><Relationship Id="rId4" Type="http://schemas.openxmlformats.org/officeDocument/2006/relationships/image" Target="../media/image48.wmf"/><Relationship Id="rId9" Type="http://schemas.openxmlformats.org/officeDocument/2006/relationships/image" Target="../media/image53.w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7.emf"/><Relationship Id="rId2" Type="http://schemas.openxmlformats.org/officeDocument/2006/relationships/image" Target="../media/image146.emf"/><Relationship Id="rId1" Type="http://schemas.openxmlformats.org/officeDocument/2006/relationships/image" Target="../media/image145.wmf"/><Relationship Id="rId4" Type="http://schemas.openxmlformats.org/officeDocument/2006/relationships/image" Target="../media/image148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7.emf"/><Relationship Id="rId1" Type="http://schemas.openxmlformats.org/officeDocument/2006/relationships/image" Target="../media/image14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432287</xdr:colOff>
      <xdr:row>6</xdr:row>
      <xdr:rowOff>0</xdr:rowOff>
    </xdr:from>
    <xdr:to>
      <xdr:col>4</xdr:col>
      <xdr:colOff>380998</xdr:colOff>
      <xdr:row>7</xdr:row>
      <xdr:rowOff>0</xdr:rowOff>
    </xdr:to>
    <xdr:sp macro="" textlink="">
      <xdr:nvSpPr>
        <xdr:cNvPr id="5" name="TextBox 4"/>
        <xdr:cNvSpPr txBox="1"/>
      </xdr:nvSpPr>
      <xdr:spPr>
        <a:xfrm>
          <a:off x="432287" y="1245577"/>
          <a:ext cx="1553307" cy="190500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ru-RU" sz="1100"/>
        </a:p>
        <a:p>
          <a:pPr algn="ctr"/>
          <a:endParaRPr lang="ru-RU" sz="1100"/>
        </a:p>
      </xdr:txBody>
    </xdr:sp>
    <xdr:clientData/>
  </xdr:twoCellAnchor>
  <xdr:twoCellAnchor>
    <xdr:from>
      <xdr:col>5</xdr:col>
      <xdr:colOff>1</xdr:colOff>
      <xdr:row>6</xdr:row>
      <xdr:rowOff>0</xdr:rowOff>
    </xdr:from>
    <xdr:to>
      <xdr:col>9</xdr:col>
      <xdr:colOff>0</xdr:colOff>
      <xdr:row>7</xdr:row>
      <xdr:rowOff>0</xdr:rowOff>
    </xdr:to>
    <xdr:sp macro="" textlink="">
      <xdr:nvSpPr>
        <xdr:cNvPr id="6" name="TextBox 5"/>
        <xdr:cNvSpPr txBox="1"/>
      </xdr:nvSpPr>
      <xdr:spPr>
        <a:xfrm>
          <a:off x="1985597" y="1245577"/>
          <a:ext cx="1487365" cy="190500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n-US" sz="1100"/>
        </a:p>
        <a:p>
          <a:pPr algn="ctr"/>
          <a:endParaRPr lang="ru-RU" sz="1100"/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13</xdr:col>
      <xdr:colOff>0</xdr:colOff>
      <xdr:row>7</xdr:row>
      <xdr:rowOff>0</xdr:rowOff>
    </xdr:to>
    <xdr:sp macro="" textlink="">
      <xdr:nvSpPr>
        <xdr:cNvPr id="7" name="TextBox 6"/>
        <xdr:cNvSpPr txBox="1"/>
      </xdr:nvSpPr>
      <xdr:spPr>
        <a:xfrm>
          <a:off x="3472962" y="1245577"/>
          <a:ext cx="1502019" cy="190500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ru-RU" sz="1100"/>
        </a:p>
        <a:p>
          <a:pPr algn="ctr"/>
          <a:endParaRPr lang="ru-RU" sz="1100"/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8" name="TextBox 7"/>
        <xdr:cNvSpPr txBox="1"/>
      </xdr:nvSpPr>
      <xdr:spPr>
        <a:xfrm>
          <a:off x="0" y="1057275"/>
          <a:ext cx="4591050" cy="1905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100"/>
            <a:t>Нагрузки при напряжениях в режимах</a:t>
          </a:r>
        </a:p>
      </xdr:txBody>
    </xdr:sp>
    <xdr:clientData/>
  </xdr:twoCellAnchor>
  <xdr:twoCellAnchor>
    <xdr:from>
      <xdr:col>12</xdr:col>
      <xdr:colOff>352424</xdr:colOff>
      <xdr:row>26</xdr:row>
      <xdr:rowOff>219074</xdr:rowOff>
    </xdr:from>
    <xdr:to>
      <xdr:col>14</xdr:col>
      <xdr:colOff>19050</xdr:colOff>
      <xdr:row>27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20689" b="8571"/>
        <a:stretch>
          <a:fillRect/>
        </a:stretch>
      </xdr:blipFill>
      <xdr:spPr bwMode="auto">
        <a:xfrm>
          <a:off x="4962524" y="5372099"/>
          <a:ext cx="657226" cy="304801"/>
        </a:xfrm>
        <a:prstGeom prst="rect">
          <a:avLst/>
        </a:prstGeom>
        <a:noFill/>
      </xdr:spPr>
    </xdr:pic>
    <xdr:clientData/>
  </xdr:twoCellAnchor>
  <xdr:twoCellAnchor>
    <xdr:from>
      <xdr:col>6</xdr:col>
      <xdr:colOff>94007</xdr:colOff>
      <xdr:row>54</xdr:row>
      <xdr:rowOff>41415</xdr:rowOff>
    </xdr:from>
    <xdr:to>
      <xdr:col>6</xdr:col>
      <xdr:colOff>246407</xdr:colOff>
      <xdr:row>54</xdr:row>
      <xdr:rowOff>184290</xdr:rowOff>
    </xdr:to>
    <xdr:sp macro="" textlink="">
      <xdr:nvSpPr>
        <xdr:cNvPr id="9" name="Овал 8"/>
        <xdr:cNvSpPr/>
      </xdr:nvSpPr>
      <xdr:spPr>
        <a:xfrm>
          <a:off x="2446268" y="1075911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264628</xdr:colOff>
      <xdr:row>57</xdr:row>
      <xdr:rowOff>124655</xdr:rowOff>
    </xdr:from>
    <xdr:to>
      <xdr:col>8</xdr:col>
      <xdr:colOff>36028</xdr:colOff>
      <xdr:row>58</xdr:row>
      <xdr:rowOff>77030</xdr:rowOff>
    </xdr:to>
    <xdr:sp macro="" textlink="">
      <xdr:nvSpPr>
        <xdr:cNvPr id="10" name="Овал 9"/>
        <xdr:cNvSpPr/>
      </xdr:nvSpPr>
      <xdr:spPr>
        <a:xfrm>
          <a:off x="2989606" y="1141385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369404</xdr:colOff>
      <xdr:row>59</xdr:row>
      <xdr:rowOff>150745</xdr:rowOff>
    </xdr:from>
    <xdr:to>
      <xdr:col>10</xdr:col>
      <xdr:colOff>140804</xdr:colOff>
      <xdr:row>60</xdr:row>
      <xdr:rowOff>103120</xdr:rowOff>
    </xdr:to>
    <xdr:sp macro="" textlink="">
      <xdr:nvSpPr>
        <xdr:cNvPr id="11" name="Овал 10"/>
        <xdr:cNvSpPr/>
      </xdr:nvSpPr>
      <xdr:spPr>
        <a:xfrm>
          <a:off x="3839817" y="1182094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328819</xdr:colOff>
      <xdr:row>53</xdr:row>
      <xdr:rowOff>140805</xdr:rowOff>
    </xdr:from>
    <xdr:to>
      <xdr:col>10</xdr:col>
      <xdr:colOff>100219</xdr:colOff>
      <xdr:row>54</xdr:row>
      <xdr:rowOff>93180</xdr:rowOff>
    </xdr:to>
    <xdr:sp macro="" textlink="">
      <xdr:nvSpPr>
        <xdr:cNvPr id="12" name="Овал 11"/>
        <xdr:cNvSpPr/>
      </xdr:nvSpPr>
      <xdr:spPr>
        <a:xfrm>
          <a:off x="3799232" y="1066800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</xdr:col>
      <xdr:colOff>201386</xdr:colOff>
      <xdr:row>60</xdr:row>
      <xdr:rowOff>144531</xdr:rowOff>
    </xdr:from>
    <xdr:to>
      <xdr:col>3</xdr:col>
      <xdr:colOff>19871</xdr:colOff>
      <xdr:row>61</xdr:row>
      <xdr:rowOff>96906</xdr:rowOff>
    </xdr:to>
    <xdr:sp macro="" textlink="">
      <xdr:nvSpPr>
        <xdr:cNvPr id="13" name="Овал 12"/>
        <xdr:cNvSpPr/>
      </xdr:nvSpPr>
      <xdr:spPr>
        <a:xfrm>
          <a:off x="1006929" y="12189574"/>
          <a:ext cx="145056" cy="14287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58</xdr:row>
      <xdr:rowOff>33130</xdr:rowOff>
    </xdr:from>
    <xdr:to>
      <xdr:col>7</xdr:col>
      <xdr:colOff>240196</xdr:colOff>
      <xdr:row>61</xdr:row>
      <xdr:rowOff>1</xdr:rowOff>
    </xdr:to>
    <xdr:cxnSp macro="">
      <xdr:nvCxnSpPr>
        <xdr:cNvPr id="15" name="Прямая соединительная линия 14"/>
        <xdr:cNvCxnSpPr/>
      </xdr:nvCxnSpPr>
      <xdr:spPr>
        <a:xfrm flipV="1">
          <a:off x="1209261" y="11512826"/>
          <a:ext cx="1755913" cy="538371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224090</xdr:colOff>
      <xdr:row>54</xdr:row>
      <xdr:rowOff>163365</xdr:rowOff>
    </xdr:from>
    <xdr:to>
      <xdr:col>7</xdr:col>
      <xdr:colOff>286947</xdr:colOff>
      <xdr:row>57</xdr:row>
      <xdr:rowOff>145578</xdr:rowOff>
    </xdr:to>
    <xdr:cxnSp macro="">
      <xdr:nvCxnSpPr>
        <xdr:cNvPr id="23" name="Прямая соединительная линия 22"/>
        <xdr:cNvCxnSpPr>
          <a:stCxn id="9" idx="5"/>
          <a:endCxn id="10" idx="1"/>
        </xdr:cNvCxnSpPr>
      </xdr:nvCxnSpPr>
      <xdr:spPr>
        <a:xfrm rot="16200000" flipH="1">
          <a:off x="2517281" y="10940131"/>
          <a:ext cx="553713" cy="435574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246407</xdr:colOff>
      <xdr:row>54</xdr:row>
      <xdr:rowOff>21743</xdr:rowOff>
    </xdr:from>
    <xdr:to>
      <xdr:col>9</xdr:col>
      <xdr:colOff>328819</xdr:colOff>
      <xdr:row>54</xdr:row>
      <xdr:rowOff>112853</xdr:rowOff>
    </xdr:to>
    <xdr:cxnSp macro="">
      <xdr:nvCxnSpPr>
        <xdr:cNvPr id="25" name="Прямая соединительная линия 24"/>
        <xdr:cNvCxnSpPr>
          <a:stCxn id="9" idx="6"/>
          <a:endCxn id="12" idx="2"/>
        </xdr:cNvCxnSpPr>
      </xdr:nvCxnSpPr>
      <xdr:spPr>
        <a:xfrm flipV="1">
          <a:off x="2598668" y="10739439"/>
          <a:ext cx="1200564" cy="91110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24019</xdr:colOff>
      <xdr:row>54</xdr:row>
      <xdr:rowOff>93179</xdr:rowOff>
    </xdr:from>
    <xdr:to>
      <xdr:col>10</xdr:col>
      <xdr:colOff>64604</xdr:colOff>
      <xdr:row>59</xdr:row>
      <xdr:rowOff>150744</xdr:rowOff>
    </xdr:to>
    <xdr:cxnSp macro="">
      <xdr:nvCxnSpPr>
        <xdr:cNvPr id="27" name="Прямая соединительная линия 26"/>
        <xdr:cNvCxnSpPr>
          <a:stCxn id="12" idx="4"/>
          <a:endCxn id="11" idx="0"/>
        </xdr:cNvCxnSpPr>
      </xdr:nvCxnSpPr>
      <xdr:spPr>
        <a:xfrm rot="16200000" flipH="1">
          <a:off x="3390692" y="11295615"/>
          <a:ext cx="1010065" cy="40585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13710</xdr:colOff>
      <xdr:row>58</xdr:row>
      <xdr:rowOff>56105</xdr:rowOff>
    </xdr:from>
    <xdr:to>
      <xdr:col>10</xdr:col>
      <xdr:colOff>10722</xdr:colOff>
      <xdr:row>59</xdr:row>
      <xdr:rowOff>171668</xdr:rowOff>
    </xdr:to>
    <xdr:cxnSp macro="">
      <xdr:nvCxnSpPr>
        <xdr:cNvPr id="29" name="Прямая соединительная линия 28"/>
        <xdr:cNvCxnSpPr>
          <a:stCxn id="10" idx="5"/>
          <a:endCxn id="11" idx="1"/>
        </xdr:cNvCxnSpPr>
      </xdr:nvCxnSpPr>
      <xdr:spPr>
        <a:xfrm rot="16200000" flipH="1">
          <a:off x="3337880" y="11317609"/>
          <a:ext cx="306063" cy="742447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13711</xdr:colOff>
      <xdr:row>54</xdr:row>
      <xdr:rowOff>72256</xdr:rowOff>
    </xdr:from>
    <xdr:to>
      <xdr:col>9</xdr:col>
      <xdr:colOff>351138</xdr:colOff>
      <xdr:row>57</xdr:row>
      <xdr:rowOff>145579</xdr:rowOff>
    </xdr:to>
    <xdr:cxnSp macro="">
      <xdr:nvCxnSpPr>
        <xdr:cNvPr id="31" name="Прямая соединительная линия 30"/>
        <xdr:cNvCxnSpPr>
          <a:stCxn id="10" idx="7"/>
          <a:endCxn id="12" idx="3"/>
        </xdr:cNvCxnSpPr>
      </xdr:nvCxnSpPr>
      <xdr:spPr>
        <a:xfrm rot="5400000" flipH="1" flipV="1">
          <a:off x="3148208" y="10761433"/>
          <a:ext cx="644823" cy="701862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94007</xdr:colOff>
      <xdr:row>77</xdr:row>
      <xdr:rowOff>41415</xdr:rowOff>
    </xdr:from>
    <xdr:to>
      <xdr:col>8</xdr:col>
      <xdr:colOff>246407</xdr:colOff>
      <xdr:row>77</xdr:row>
      <xdr:rowOff>184290</xdr:rowOff>
    </xdr:to>
    <xdr:sp macro="" textlink="">
      <xdr:nvSpPr>
        <xdr:cNvPr id="45" name="Овал 44"/>
        <xdr:cNvSpPr/>
      </xdr:nvSpPr>
      <xdr:spPr>
        <a:xfrm>
          <a:off x="2446268" y="1075911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264628</xdr:colOff>
      <xdr:row>80</xdr:row>
      <xdr:rowOff>124655</xdr:rowOff>
    </xdr:from>
    <xdr:to>
      <xdr:col>10</xdr:col>
      <xdr:colOff>36028</xdr:colOff>
      <xdr:row>81</xdr:row>
      <xdr:rowOff>77030</xdr:rowOff>
    </xdr:to>
    <xdr:sp macro="" textlink="">
      <xdr:nvSpPr>
        <xdr:cNvPr id="46" name="Овал 45"/>
        <xdr:cNvSpPr/>
      </xdr:nvSpPr>
      <xdr:spPr>
        <a:xfrm>
          <a:off x="2989606" y="1141385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11</xdr:col>
      <xdr:colOff>369404</xdr:colOff>
      <xdr:row>82</xdr:row>
      <xdr:rowOff>150745</xdr:rowOff>
    </xdr:from>
    <xdr:to>
      <xdr:col>12</xdr:col>
      <xdr:colOff>140804</xdr:colOff>
      <xdr:row>83</xdr:row>
      <xdr:rowOff>103120</xdr:rowOff>
    </xdr:to>
    <xdr:sp macro="" textlink="">
      <xdr:nvSpPr>
        <xdr:cNvPr id="47" name="Овал 46"/>
        <xdr:cNvSpPr/>
      </xdr:nvSpPr>
      <xdr:spPr>
        <a:xfrm>
          <a:off x="3839817" y="1182094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11</xdr:col>
      <xdr:colOff>328819</xdr:colOff>
      <xdr:row>76</xdr:row>
      <xdr:rowOff>140805</xdr:rowOff>
    </xdr:from>
    <xdr:to>
      <xdr:col>12</xdr:col>
      <xdr:colOff>100219</xdr:colOff>
      <xdr:row>77</xdr:row>
      <xdr:rowOff>93180</xdr:rowOff>
    </xdr:to>
    <xdr:sp macro="" textlink="">
      <xdr:nvSpPr>
        <xdr:cNvPr id="48" name="Овал 47"/>
        <xdr:cNvSpPr/>
      </xdr:nvSpPr>
      <xdr:spPr>
        <a:xfrm>
          <a:off x="3799232" y="10668001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4</xdr:col>
      <xdr:colOff>265034</xdr:colOff>
      <xdr:row>83</xdr:row>
      <xdr:rowOff>144531</xdr:rowOff>
    </xdr:from>
    <xdr:to>
      <xdr:col>5</xdr:col>
      <xdr:colOff>19869</xdr:colOff>
      <xdr:row>84</xdr:row>
      <xdr:rowOff>96906</xdr:rowOff>
    </xdr:to>
    <xdr:sp macro="" textlink="">
      <xdr:nvSpPr>
        <xdr:cNvPr id="49" name="Овал 48"/>
        <xdr:cNvSpPr/>
      </xdr:nvSpPr>
      <xdr:spPr>
        <a:xfrm>
          <a:off x="1076730" y="12005227"/>
          <a:ext cx="152400" cy="14287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5597</xdr:colOff>
      <xdr:row>81</xdr:row>
      <xdr:rowOff>18434</xdr:rowOff>
    </xdr:from>
    <xdr:to>
      <xdr:col>9</xdr:col>
      <xdr:colOff>264244</xdr:colOff>
      <xdr:row>83</xdr:row>
      <xdr:rowOff>184357</xdr:rowOff>
    </xdr:to>
    <xdr:cxnSp macro="">
      <xdr:nvCxnSpPr>
        <xdr:cNvPr id="50" name="Прямая соединительная линия 49"/>
        <xdr:cNvCxnSpPr/>
      </xdr:nvCxnSpPr>
      <xdr:spPr>
        <a:xfrm flipV="1">
          <a:off x="1606412" y="16293894"/>
          <a:ext cx="1764211" cy="546923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238466</xdr:colOff>
      <xdr:row>77</xdr:row>
      <xdr:rowOff>138207</xdr:rowOff>
    </xdr:from>
    <xdr:to>
      <xdr:col>9</xdr:col>
      <xdr:colOff>301323</xdr:colOff>
      <xdr:row>80</xdr:row>
      <xdr:rowOff>120420</xdr:rowOff>
    </xdr:to>
    <xdr:cxnSp macro="">
      <xdr:nvCxnSpPr>
        <xdr:cNvPr id="51" name="Прямая соединительная линия 50"/>
        <xdr:cNvCxnSpPr/>
      </xdr:nvCxnSpPr>
      <xdr:spPr>
        <a:xfrm rot="16200000" flipH="1">
          <a:off x="2904453" y="15695522"/>
          <a:ext cx="553713" cy="443857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18357</xdr:colOff>
      <xdr:row>81</xdr:row>
      <xdr:rowOff>47179</xdr:rowOff>
    </xdr:from>
    <xdr:to>
      <xdr:col>12</xdr:col>
      <xdr:colOff>15369</xdr:colOff>
      <xdr:row>82</xdr:row>
      <xdr:rowOff>162742</xdr:rowOff>
    </xdr:to>
    <xdr:cxnSp macro="">
      <xdr:nvCxnSpPr>
        <xdr:cNvPr id="54" name="Прямая соединительная линия 53"/>
        <xdr:cNvCxnSpPr/>
      </xdr:nvCxnSpPr>
      <xdr:spPr>
        <a:xfrm rot="16200000" flipH="1">
          <a:off x="3713936" y="16103442"/>
          <a:ext cx="306063" cy="759012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13711</xdr:colOff>
      <xdr:row>77</xdr:row>
      <xdr:rowOff>72256</xdr:rowOff>
    </xdr:from>
    <xdr:to>
      <xdr:col>11</xdr:col>
      <xdr:colOff>351138</xdr:colOff>
      <xdr:row>80</xdr:row>
      <xdr:rowOff>145579</xdr:rowOff>
    </xdr:to>
    <xdr:cxnSp macro="">
      <xdr:nvCxnSpPr>
        <xdr:cNvPr id="55" name="Прямая соединительная линия 54"/>
        <xdr:cNvCxnSpPr>
          <a:stCxn id="46" idx="7"/>
          <a:endCxn id="48" idx="3"/>
        </xdr:cNvCxnSpPr>
      </xdr:nvCxnSpPr>
      <xdr:spPr>
        <a:xfrm rot="5400000" flipH="1" flipV="1">
          <a:off x="3148208" y="10761433"/>
          <a:ext cx="644823" cy="701862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22867</xdr:colOff>
      <xdr:row>81</xdr:row>
      <xdr:rowOff>56106</xdr:rowOff>
    </xdr:from>
    <xdr:to>
      <xdr:col>9</xdr:col>
      <xdr:colOff>284109</xdr:colOff>
      <xdr:row>84</xdr:row>
      <xdr:rowOff>38746</xdr:rowOff>
    </xdr:to>
    <xdr:cxnSp macro="">
      <xdr:nvCxnSpPr>
        <xdr:cNvPr id="56" name="Прямая соединительная линия 55"/>
        <xdr:cNvCxnSpPr>
          <a:endCxn id="46" idx="3"/>
        </xdr:cNvCxnSpPr>
      </xdr:nvCxnSpPr>
      <xdr:spPr>
        <a:xfrm flipV="1">
          <a:off x="1624359" y="16329326"/>
          <a:ext cx="1765869" cy="554140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46235</xdr:colOff>
      <xdr:row>77</xdr:row>
      <xdr:rowOff>100134</xdr:rowOff>
    </xdr:from>
    <xdr:to>
      <xdr:col>12</xdr:col>
      <xdr:colOff>2662</xdr:colOff>
      <xdr:row>80</xdr:row>
      <xdr:rowOff>173457</xdr:rowOff>
    </xdr:to>
    <xdr:cxnSp macro="">
      <xdr:nvCxnSpPr>
        <xdr:cNvPr id="59" name="Прямая соединительная линия 58"/>
        <xdr:cNvCxnSpPr/>
      </xdr:nvCxnSpPr>
      <xdr:spPr>
        <a:xfrm rot="5400000" flipH="1" flipV="1">
          <a:off x="3549208" y="15563527"/>
          <a:ext cx="644823" cy="718427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359114</xdr:colOff>
      <xdr:row>81</xdr:row>
      <xdr:rowOff>78971</xdr:rowOff>
    </xdr:from>
    <xdr:to>
      <xdr:col>11</xdr:col>
      <xdr:colOff>374711</xdr:colOff>
      <xdr:row>83</xdr:row>
      <xdr:rowOff>4034</xdr:rowOff>
    </xdr:to>
    <xdr:cxnSp macro="">
      <xdr:nvCxnSpPr>
        <xdr:cNvPr id="61" name="Прямая соединительная линия 60"/>
        <xdr:cNvCxnSpPr/>
      </xdr:nvCxnSpPr>
      <xdr:spPr>
        <a:xfrm rot="16200000" flipH="1">
          <a:off x="3693012" y="16135968"/>
          <a:ext cx="306063" cy="757544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204368</xdr:colOff>
      <xdr:row>77</xdr:row>
      <xdr:rowOff>166085</xdr:rowOff>
    </xdr:from>
    <xdr:to>
      <xdr:col>9</xdr:col>
      <xdr:colOff>267225</xdr:colOff>
      <xdr:row>80</xdr:row>
      <xdr:rowOff>148298</xdr:rowOff>
    </xdr:to>
    <xdr:cxnSp macro="">
      <xdr:nvCxnSpPr>
        <xdr:cNvPr id="62" name="Прямая соединительная линия 61"/>
        <xdr:cNvCxnSpPr/>
      </xdr:nvCxnSpPr>
      <xdr:spPr>
        <a:xfrm rot="16200000" flipH="1">
          <a:off x="2870355" y="15723400"/>
          <a:ext cx="553713" cy="443857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94007</xdr:colOff>
      <xdr:row>88</xdr:row>
      <xdr:rowOff>41415</xdr:rowOff>
    </xdr:from>
    <xdr:to>
      <xdr:col>8</xdr:col>
      <xdr:colOff>246407</xdr:colOff>
      <xdr:row>88</xdr:row>
      <xdr:rowOff>184290</xdr:rowOff>
    </xdr:to>
    <xdr:sp macro="" textlink="">
      <xdr:nvSpPr>
        <xdr:cNvPr id="178" name="Овал 177"/>
        <xdr:cNvSpPr/>
      </xdr:nvSpPr>
      <xdr:spPr>
        <a:xfrm>
          <a:off x="2939601" y="17454306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264628</xdr:colOff>
      <xdr:row>91</xdr:row>
      <xdr:rowOff>124655</xdr:rowOff>
    </xdr:from>
    <xdr:to>
      <xdr:col>10</xdr:col>
      <xdr:colOff>36028</xdr:colOff>
      <xdr:row>92</xdr:row>
      <xdr:rowOff>77030</xdr:rowOff>
    </xdr:to>
    <xdr:sp macro="" textlink="">
      <xdr:nvSpPr>
        <xdr:cNvPr id="179" name="Овал 178"/>
        <xdr:cNvSpPr/>
      </xdr:nvSpPr>
      <xdr:spPr>
        <a:xfrm>
          <a:off x="2997570" y="11415443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11</xdr:col>
      <xdr:colOff>369404</xdr:colOff>
      <xdr:row>93</xdr:row>
      <xdr:rowOff>150745</xdr:rowOff>
    </xdr:from>
    <xdr:to>
      <xdr:col>12</xdr:col>
      <xdr:colOff>140804</xdr:colOff>
      <xdr:row>94</xdr:row>
      <xdr:rowOff>103120</xdr:rowOff>
    </xdr:to>
    <xdr:sp macro="" textlink="">
      <xdr:nvSpPr>
        <xdr:cNvPr id="180" name="Овал 179"/>
        <xdr:cNvSpPr/>
      </xdr:nvSpPr>
      <xdr:spPr>
        <a:xfrm>
          <a:off x="3842366" y="11822533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11</xdr:col>
      <xdr:colOff>328819</xdr:colOff>
      <xdr:row>87</xdr:row>
      <xdr:rowOff>140805</xdr:rowOff>
    </xdr:from>
    <xdr:to>
      <xdr:col>12</xdr:col>
      <xdr:colOff>100219</xdr:colOff>
      <xdr:row>88</xdr:row>
      <xdr:rowOff>93180</xdr:rowOff>
    </xdr:to>
    <xdr:sp macro="" textlink="">
      <xdr:nvSpPr>
        <xdr:cNvPr id="181" name="Овал 180"/>
        <xdr:cNvSpPr/>
      </xdr:nvSpPr>
      <xdr:spPr>
        <a:xfrm>
          <a:off x="3801781" y="10669593"/>
          <a:ext cx="152400" cy="142875"/>
        </a:xfrm>
        <a:prstGeom prst="ellips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4</xdr:col>
      <xdr:colOff>206829</xdr:colOff>
      <xdr:row>94</xdr:row>
      <xdr:rowOff>132601</xdr:rowOff>
    </xdr:from>
    <xdr:to>
      <xdr:col>5</xdr:col>
      <xdr:colOff>26276</xdr:colOff>
      <xdr:row>95</xdr:row>
      <xdr:rowOff>96907</xdr:rowOff>
    </xdr:to>
    <xdr:sp macro="" textlink="">
      <xdr:nvSpPr>
        <xdr:cNvPr id="182" name="Овал 181"/>
        <xdr:cNvSpPr/>
      </xdr:nvSpPr>
      <xdr:spPr>
        <a:xfrm>
          <a:off x="1703615" y="18692744"/>
          <a:ext cx="146018" cy="154806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9773</xdr:colOff>
      <xdr:row>92</xdr:row>
      <xdr:rowOff>24470</xdr:rowOff>
    </xdr:from>
    <xdr:to>
      <xdr:col>9</xdr:col>
      <xdr:colOff>249969</xdr:colOff>
      <xdr:row>94</xdr:row>
      <xdr:rowOff>181841</xdr:rowOff>
    </xdr:to>
    <xdr:cxnSp macro="">
      <xdr:nvCxnSpPr>
        <xdr:cNvPr id="183" name="Прямая соединительная линия 182"/>
        <xdr:cNvCxnSpPr/>
      </xdr:nvCxnSpPr>
      <xdr:spPr>
        <a:xfrm flipV="1">
          <a:off x="1996416" y="18013113"/>
          <a:ext cx="1726096" cy="538371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199772</xdr:colOff>
      <xdr:row>89</xdr:row>
      <xdr:rowOff>1239</xdr:rowOff>
    </xdr:from>
    <xdr:to>
      <xdr:col>9</xdr:col>
      <xdr:colOff>260886</xdr:colOff>
      <xdr:row>91</xdr:row>
      <xdr:rowOff>173952</xdr:rowOff>
    </xdr:to>
    <xdr:cxnSp macro="">
      <xdr:nvCxnSpPr>
        <xdr:cNvPr id="184" name="Прямая соединительная линия 183"/>
        <xdr:cNvCxnSpPr/>
      </xdr:nvCxnSpPr>
      <xdr:spPr>
        <a:xfrm rot="16200000" flipH="1">
          <a:off x="2964993" y="17684369"/>
          <a:ext cx="553713" cy="393476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15454</xdr:colOff>
      <xdr:row>88</xdr:row>
      <xdr:rowOff>72256</xdr:rowOff>
    </xdr:from>
    <xdr:to>
      <xdr:col>11</xdr:col>
      <xdr:colOff>348523</xdr:colOff>
      <xdr:row>91</xdr:row>
      <xdr:rowOff>145579</xdr:rowOff>
    </xdr:to>
    <xdr:cxnSp macro="">
      <xdr:nvCxnSpPr>
        <xdr:cNvPr id="185" name="Прямая соединительная линия 184"/>
        <xdr:cNvCxnSpPr>
          <a:stCxn id="179" idx="7"/>
          <a:endCxn id="181" idx="3"/>
        </xdr:cNvCxnSpPr>
      </xdr:nvCxnSpPr>
      <xdr:spPr>
        <a:xfrm rot="5400000" flipH="1" flipV="1">
          <a:off x="3580280" y="17468384"/>
          <a:ext cx="644823" cy="678350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24019</xdr:colOff>
      <xdr:row>88</xdr:row>
      <xdr:rowOff>93179</xdr:rowOff>
    </xdr:from>
    <xdr:to>
      <xdr:col>12</xdr:col>
      <xdr:colOff>64604</xdr:colOff>
      <xdr:row>93</xdr:row>
      <xdr:rowOff>150744</xdr:rowOff>
    </xdr:to>
    <xdr:cxnSp macro="">
      <xdr:nvCxnSpPr>
        <xdr:cNvPr id="186" name="Прямая соединительная линия 185"/>
        <xdr:cNvCxnSpPr>
          <a:stCxn id="181" idx="4"/>
          <a:endCxn id="180" idx="0"/>
        </xdr:cNvCxnSpPr>
      </xdr:nvCxnSpPr>
      <xdr:spPr>
        <a:xfrm rot="16200000" flipH="1">
          <a:off x="3393241" y="11297207"/>
          <a:ext cx="1010065" cy="40585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13710</xdr:colOff>
      <xdr:row>92</xdr:row>
      <xdr:rowOff>56105</xdr:rowOff>
    </xdr:from>
    <xdr:to>
      <xdr:col>12</xdr:col>
      <xdr:colOff>10722</xdr:colOff>
      <xdr:row>93</xdr:row>
      <xdr:rowOff>171668</xdr:rowOff>
    </xdr:to>
    <xdr:cxnSp macro="">
      <xdr:nvCxnSpPr>
        <xdr:cNvPr id="187" name="Прямая соединительная линия 186"/>
        <xdr:cNvCxnSpPr>
          <a:stCxn id="179" idx="5"/>
          <a:endCxn id="180" idx="1"/>
        </xdr:cNvCxnSpPr>
      </xdr:nvCxnSpPr>
      <xdr:spPr>
        <a:xfrm rot="16200000" flipH="1">
          <a:off x="3343136" y="11321909"/>
          <a:ext cx="306063" cy="737032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35750</xdr:colOff>
      <xdr:row>92</xdr:row>
      <xdr:rowOff>72096</xdr:rowOff>
    </xdr:from>
    <xdr:to>
      <xdr:col>9</xdr:col>
      <xdr:colOff>275946</xdr:colOff>
      <xdr:row>95</xdr:row>
      <xdr:rowOff>38967</xdr:rowOff>
    </xdr:to>
    <xdr:cxnSp macro="">
      <xdr:nvCxnSpPr>
        <xdr:cNvPr id="189" name="Прямая соединительная линия 188"/>
        <xdr:cNvCxnSpPr/>
      </xdr:nvCxnSpPr>
      <xdr:spPr>
        <a:xfrm flipV="1">
          <a:off x="2022393" y="18060739"/>
          <a:ext cx="1726096" cy="538371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212271</xdr:colOff>
      <xdr:row>83</xdr:row>
      <xdr:rowOff>144531</xdr:rowOff>
    </xdr:from>
    <xdr:to>
      <xdr:col>5</xdr:col>
      <xdr:colOff>19869</xdr:colOff>
      <xdr:row>84</xdr:row>
      <xdr:rowOff>96906</xdr:rowOff>
    </xdr:to>
    <xdr:sp macro="" textlink="">
      <xdr:nvSpPr>
        <xdr:cNvPr id="190" name="Овал 189"/>
        <xdr:cNvSpPr/>
      </xdr:nvSpPr>
      <xdr:spPr>
        <a:xfrm>
          <a:off x="1709057" y="16609174"/>
          <a:ext cx="134169" cy="14287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240306</xdr:colOff>
      <xdr:row>88</xdr:row>
      <xdr:rowOff>147156</xdr:rowOff>
    </xdr:from>
    <xdr:to>
      <xdr:col>9</xdr:col>
      <xdr:colOff>301420</xdr:colOff>
      <xdr:row>91</xdr:row>
      <xdr:rowOff>129369</xdr:rowOff>
    </xdr:to>
    <xdr:cxnSp macro="">
      <xdr:nvCxnSpPr>
        <xdr:cNvPr id="64" name="Прямая соединительная линия 63"/>
        <xdr:cNvCxnSpPr/>
      </xdr:nvCxnSpPr>
      <xdr:spPr>
        <a:xfrm rot="16200000" flipH="1">
          <a:off x="3005527" y="17639786"/>
          <a:ext cx="553713" cy="393476"/>
        </a:xfrm>
        <a:prstGeom prst="line">
          <a:avLst/>
        </a:prstGeom>
        <a:ln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4</xdr:row>
      <xdr:rowOff>180975</xdr:rowOff>
    </xdr:from>
    <xdr:ext cx="6324599" cy="866584"/>
    <xdr:sp macro="" textlink="">
      <xdr:nvSpPr>
        <xdr:cNvPr id="3" name="TextBox 2"/>
        <xdr:cNvSpPr txBox="1"/>
      </xdr:nvSpPr>
      <xdr:spPr>
        <a:xfrm>
          <a:off x="19050" y="1019175"/>
          <a:ext cx="6324599" cy="8665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ru-RU" sz="105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Выбор мощности и количества трансформаторов на подстанциях производится в зависимости от мощности потребителей и категорий надежности.</a:t>
          </a:r>
        </a:p>
        <a:p>
          <a:r>
            <a:rPr lang="ru-RU" sz="105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 Исходя из задания, имеем потребителей всех категорий надежности, поэтому на подстанциях предусматривается установка двух трансформаторов, номинальная мощность которых определяется по выражению: </a:t>
          </a:r>
          <a:endParaRPr lang="en-US" sz="1050">
            <a:solidFill>
              <a:schemeClr val="tx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3</xdr:col>
      <xdr:colOff>333375</xdr:colOff>
      <xdr:row>12</xdr:row>
      <xdr:rowOff>28575</xdr:rowOff>
    </xdr:from>
    <xdr:to>
      <xdr:col>5</xdr:col>
      <xdr:colOff>409575</xdr:colOff>
      <xdr:row>13</xdr:row>
      <xdr:rowOff>28575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71550" y="2390775"/>
          <a:ext cx="1352550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409575</xdr:colOff>
      <xdr:row>14</xdr:row>
      <xdr:rowOff>38100</xdr:rowOff>
    </xdr:from>
    <xdr:to>
      <xdr:col>5</xdr:col>
      <xdr:colOff>323850</xdr:colOff>
      <xdr:row>15</xdr:row>
      <xdr:rowOff>38100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47750" y="2781300"/>
          <a:ext cx="1190625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257175</xdr:colOff>
      <xdr:row>15</xdr:row>
      <xdr:rowOff>123825</xdr:rowOff>
    </xdr:from>
    <xdr:to>
      <xdr:col>5</xdr:col>
      <xdr:colOff>266700</xdr:colOff>
      <xdr:row>17</xdr:row>
      <xdr:rowOff>104775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95350" y="3057525"/>
          <a:ext cx="1285875" cy="3619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314325</xdr:colOff>
      <xdr:row>20</xdr:row>
      <xdr:rowOff>28575</xdr:rowOff>
    </xdr:from>
    <xdr:to>
      <xdr:col>5</xdr:col>
      <xdr:colOff>200025</xdr:colOff>
      <xdr:row>21</xdr:row>
      <xdr:rowOff>28575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95600" y="4105275"/>
          <a:ext cx="523875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304800</xdr:colOff>
      <xdr:row>22</xdr:row>
      <xdr:rowOff>38100</xdr:rowOff>
    </xdr:from>
    <xdr:to>
      <xdr:col>5</xdr:col>
      <xdr:colOff>200025</xdr:colOff>
      <xdr:row>23</xdr:row>
      <xdr:rowOff>38100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19325" y="4495800"/>
          <a:ext cx="1200150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219075</xdr:colOff>
      <xdr:row>23</xdr:row>
      <xdr:rowOff>104775</xdr:rowOff>
    </xdr:from>
    <xdr:to>
      <xdr:col>5</xdr:col>
      <xdr:colOff>200025</xdr:colOff>
      <xdr:row>25</xdr:row>
      <xdr:rowOff>85725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33600" y="4752975"/>
          <a:ext cx="1285875" cy="3619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276225</xdr:colOff>
      <xdr:row>28</xdr:row>
      <xdr:rowOff>19050</xdr:rowOff>
    </xdr:from>
    <xdr:to>
      <xdr:col>5</xdr:col>
      <xdr:colOff>161925</xdr:colOff>
      <xdr:row>29</xdr:row>
      <xdr:rowOff>19050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57500" y="5619750"/>
          <a:ext cx="523875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304800</xdr:colOff>
      <xdr:row>30</xdr:row>
      <xdr:rowOff>0</xdr:rowOff>
    </xdr:from>
    <xdr:to>
      <xdr:col>5</xdr:col>
      <xdr:colOff>171450</xdr:colOff>
      <xdr:row>31</xdr:row>
      <xdr:rowOff>0</xdr:rowOff>
    </xdr:to>
    <xdr:pic>
      <xdr:nvPicPr>
        <xdr:cNvPr id="108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19325" y="5981700"/>
          <a:ext cx="1171575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171450</xdr:colOff>
      <xdr:row>31</xdr:row>
      <xdr:rowOff>104775</xdr:rowOff>
    </xdr:from>
    <xdr:to>
      <xdr:col>5</xdr:col>
      <xdr:colOff>152400</xdr:colOff>
      <xdr:row>33</xdr:row>
      <xdr:rowOff>85725</xdr:rowOff>
    </xdr:to>
    <xdr:pic>
      <xdr:nvPicPr>
        <xdr:cNvPr id="1093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085975" y="6276975"/>
          <a:ext cx="1285875" cy="3619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266700</xdr:colOff>
      <xdr:row>36</xdr:row>
      <xdr:rowOff>47625</xdr:rowOff>
    </xdr:from>
    <xdr:to>
      <xdr:col>5</xdr:col>
      <xdr:colOff>142875</xdr:colOff>
      <xdr:row>37</xdr:row>
      <xdr:rowOff>47625</xdr:rowOff>
    </xdr:to>
    <xdr:pic>
      <xdr:nvPicPr>
        <xdr:cNvPr id="1134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47975" y="7172325"/>
          <a:ext cx="514350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285750</xdr:colOff>
      <xdr:row>38</xdr:row>
      <xdr:rowOff>28575</xdr:rowOff>
    </xdr:from>
    <xdr:to>
      <xdr:col>5</xdr:col>
      <xdr:colOff>152400</xdr:colOff>
      <xdr:row>39</xdr:row>
      <xdr:rowOff>28575</xdr:rowOff>
    </xdr:to>
    <xdr:pic>
      <xdr:nvPicPr>
        <xdr:cNvPr id="1135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00275" y="7534275"/>
          <a:ext cx="1171575" cy="190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171450</xdr:colOff>
      <xdr:row>39</xdr:row>
      <xdr:rowOff>123825</xdr:rowOff>
    </xdr:from>
    <xdr:to>
      <xdr:col>5</xdr:col>
      <xdr:colOff>152400</xdr:colOff>
      <xdr:row>41</xdr:row>
      <xdr:rowOff>104775</xdr:rowOff>
    </xdr:to>
    <xdr:pic>
      <xdr:nvPicPr>
        <xdr:cNvPr id="1136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085975" y="7820025"/>
          <a:ext cx="1285875" cy="3619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552450</xdr:colOff>
      <xdr:row>43</xdr:row>
      <xdr:rowOff>47625</xdr:rowOff>
    </xdr:from>
    <xdr:to>
      <xdr:col>5</xdr:col>
      <xdr:colOff>142875</xdr:colOff>
      <xdr:row>45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8505825"/>
          <a:ext cx="1533525" cy="4857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533400</xdr:colOff>
      <xdr:row>47</xdr:row>
      <xdr:rowOff>76200</xdr:rowOff>
    </xdr:from>
    <xdr:to>
      <xdr:col>5</xdr:col>
      <xdr:colOff>152400</xdr:colOff>
      <xdr:row>49</xdr:row>
      <xdr:rowOff>180975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09750" y="9163050"/>
          <a:ext cx="1562100" cy="4857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609600</xdr:colOff>
      <xdr:row>51</xdr:row>
      <xdr:rowOff>66675</xdr:rowOff>
    </xdr:from>
    <xdr:to>
      <xdr:col>5</xdr:col>
      <xdr:colOff>152400</xdr:colOff>
      <xdr:row>53</xdr:row>
      <xdr:rowOff>171450</xdr:rowOff>
    </xdr:to>
    <xdr:pic>
      <xdr:nvPicPr>
        <xdr:cNvPr id="820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05000" y="9725025"/>
          <a:ext cx="1514475" cy="4857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</xdr:row>
      <xdr:rowOff>114300</xdr:rowOff>
    </xdr:from>
    <xdr:ext cx="5829300" cy="711733"/>
    <xdr:sp macro="" textlink="">
      <xdr:nvSpPr>
        <xdr:cNvPr id="2" name="TextBox 1"/>
        <xdr:cNvSpPr txBox="1"/>
      </xdr:nvSpPr>
      <xdr:spPr>
        <a:xfrm>
          <a:off x="485775" y="304800"/>
          <a:ext cx="5829300" cy="7117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 b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  Выбор и обоснование номинальных напряжений питающих и распределительных электрических сетей</a:t>
          </a:r>
        </a:p>
        <a:p>
          <a:pPr algn="ctr"/>
          <a:endParaRPr lang="ru-RU" sz="1400" b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0</xdr:col>
      <xdr:colOff>171450</xdr:colOff>
      <xdr:row>5</xdr:row>
      <xdr:rowOff>38100</xdr:rowOff>
    </xdr:from>
    <xdr:ext cx="6143625" cy="1125693"/>
    <xdr:sp macro="" textlink="">
      <xdr:nvSpPr>
        <xdr:cNvPr id="3" name="TextBox 2"/>
        <xdr:cNvSpPr txBox="1"/>
      </xdr:nvSpPr>
      <xdr:spPr>
        <a:xfrm>
          <a:off x="171450" y="990600"/>
          <a:ext cx="6143625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ru-RU" sz="1100">
              <a:solidFill>
                <a:schemeClr val="tx1"/>
              </a:solidFill>
              <a:latin typeface="+mn-lt"/>
              <a:ea typeface="+mn-ea"/>
              <a:cs typeface="+mn-cs"/>
            </a:rPr>
            <a:t>Номинальные напряжения ВЛ электрической сети выбираются по технико-экономическим соображениям в зависимости от протяженности ВЛ и величин активных мощностей, которые будут по ним передаваться в режиме максимальных нагрузок.</a:t>
          </a:r>
        </a:p>
        <a:p>
          <a:pPr algn="l"/>
          <a:r>
            <a:rPr lang="ru-RU" sz="1100">
              <a:solidFill>
                <a:schemeClr val="tx1"/>
              </a:solidFill>
              <a:latin typeface="+mn-lt"/>
              <a:ea typeface="+mn-ea"/>
              <a:cs typeface="+mn-cs"/>
            </a:rPr>
            <a:t>Ориентировочно оптимальное номинальное напряжение ВЛ может быть определено по эмпирической формуле предложенной Г.А. Илларионовым :</a:t>
          </a:r>
        </a:p>
        <a:p>
          <a:endParaRPr lang="ru-RU" sz="1100"/>
        </a:p>
      </xdr:txBody>
    </xdr:sp>
    <xdr:clientData/>
  </xdr:oneCellAnchor>
  <xdr:twoCellAnchor>
    <xdr:from>
      <xdr:col>3</xdr:col>
      <xdr:colOff>554934</xdr:colOff>
      <xdr:row>10</xdr:row>
      <xdr:rowOff>140804</xdr:rowOff>
    </xdr:from>
    <xdr:to>
      <xdr:col>5</xdr:col>
      <xdr:colOff>596348</xdr:colOff>
      <xdr:row>13</xdr:row>
      <xdr:rowOff>121754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6525"/>
        <a:stretch>
          <a:fillRect/>
        </a:stretch>
      </xdr:blipFill>
      <xdr:spPr bwMode="auto">
        <a:xfrm>
          <a:off x="2468217" y="2045804"/>
          <a:ext cx="1316935" cy="5524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198783</xdr:colOff>
      <xdr:row>13</xdr:row>
      <xdr:rowOff>91108</xdr:rowOff>
    </xdr:from>
    <xdr:to>
      <xdr:col>8</xdr:col>
      <xdr:colOff>82826</xdr:colOff>
      <xdr:row>16</xdr:row>
      <xdr:rowOff>99391</xdr:rowOff>
    </xdr:to>
    <xdr:sp macro="" textlink="">
      <xdr:nvSpPr>
        <xdr:cNvPr id="5" name="TextBox 4"/>
        <xdr:cNvSpPr txBox="1"/>
      </xdr:nvSpPr>
      <xdr:spPr>
        <a:xfrm>
          <a:off x="198783" y="2567608"/>
          <a:ext cx="4986130" cy="579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где:</a:t>
          </a:r>
        </a:p>
        <a:p>
          <a:r>
            <a:rPr lang="en-US" sz="1100"/>
            <a:t>L</a:t>
          </a:r>
          <a:r>
            <a:rPr lang="en-US" sz="1100" baseline="0"/>
            <a:t> - </a:t>
          </a:r>
          <a:r>
            <a:rPr lang="ru-RU" sz="1100" baseline="0"/>
            <a:t>длинна ВЛ</a:t>
          </a:r>
        </a:p>
        <a:p>
          <a:r>
            <a:rPr lang="en-US" sz="1100" baseline="0"/>
            <a:t>P - </a:t>
          </a:r>
          <a:r>
            <a:rPr lang="ru-RU" sz="1100" baseline="0"/>
            <a:t>передаваемая активная мощиность на одну цепь ВЛ, МВт</a:t>
          </a:r>
          <a:endParaRPr lang="ru-RU" sz="1100"/>
        </a:p>
      </xdr:txBody>
    </xdr:sp>
    <xdr:clientData/>
  </xdr:twoCellAnchor>
  <xdr:twoCellAnchor>
    <xdr:from>
      <xdr:col>1</xdr:col>
      <xdr:colOff>215348</xdr:colOff>
      <xdr:row>19</xdr:row>
      <xdr:rowOff>190498</xdr:rowOff>
    </xdr:from>
    <xdr:to>
      <xdr:col>4</xdr:col>
      <xdr:colOff>130038</xdr:colOff>
      <xdr:row>22</xdr:row>
      <xdr:rowOff>171448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3109" y="3818281"/>
          <a:ext cx="1827972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248478</xdr:colOff>
      <xdr:row>20</xdr:row>
      <xdr:rowOff>24848</xdr:rowOff>
    </xdr:from>
    <xdr:to>
      <xdr:col>8</xdr:col>
      <xdr:colOff>248479</xdr:colOff>
      <xdr:row>21</xdr:row>
      <xdr:rowOff>24848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45935" y="3843131"/>
          <a:ext cx="637761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223632</xdr:colOff>
      <xdr:row>24</xdr:row>
      <xdr:rowOff>8285</xdr:rowOff>
    </xdr:from>
    <xdr:to>
      <xdr:col>4</xdr:col>
      <xdr:colOff>128797</xdr:colOff>
      <xdr:row>26</xdr:row>
      <xdr:rowOff>179735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61393" y="4588568"/>
          <a:ext cx="1818447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248478</xdr:colOff>
      <xdr:row>24</xdr:row>
      <xdr:rowOff>16566</xdr:rowOff>
    </xdr:from>
    <xdr:to>
      <xdr:col>8</xdr:col>
      <xdr:colOff>239368</xdr:colOff>
      <xdr:row>25</xdr:row>
      <xdr:rowOff>16566</xdr:rowOff>
    </xdr:to>
    <xdr:pic>
      <xdr:nvPicPr>
        <xdr:cNvPr id="2083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45935" y="4596849"/>
          <a:ext cx="628650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223630</xdr:colOff>
      <xdr:row>26</xdr:row>
      <xdr:rowOff>182218</xdr:rowOff>
    </xdr:from>
    <xdr:to>
      <xdr:col>4</xdr:col>
      <xdr:colOff>128795</xdr:colOff>
      <xdr:row>29</xdr:row>
      <xdr:rowOff>163168</xdr:rowOff>
    </xdr:to>
    <xdr:pic>
      <xdr:nvPicPr>
        <xdr:cNvPr id="2084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61391" y="5143501"/>
          <a:ext cx="1818447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231913</xdr:colOff>
      <xdr:row>27</xdr:row>
      <xdr:rowOff>33130</xdr:rowOff>
    </xdr:from>
    <xdr:to>
      <xdr:col>8</xdr:col>
      <xdr:colOff>222803</xdr:colOff>
      <xdr:row>28</xdr:row>
      <xdr:rowOff>33130</xdr:rowOff>
    </xdr:to>
    <xdr:pic>
      <xdr:nvPicPr>
        <xdr:cNvPr id="2086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29370" y="5184913"/>
          <a:ext cx="628650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223630</xdr:colOff>
      <xdr:row>30</xdr:row>
      <xdr:rowOff>8282</xdr:rowOff>
    </xdr:from>
    <xdr:to>
      <xdr:col>4</xdr:col>
      <xdr:colOff>128795</xdr:colOff>
      <xdr:row>32</xdr:row>
      <xdr:rowOff>179732</xdr:rowOff>
    </xdr:to>
    <xdr:pic>
      <xdr:nvPicPr>
        <xdr:cNvPr id="2087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61391" y="5731565"/>
          <a:ext cx="1818447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223631</xdr:colOff>
      <xdr:row>30</xdr:row>
      <xdr:rowOff>0</xdr:rowOff>
    </xdr:from>
    <xdr:to>
      <xdr:col>8</xdr:col>
      <xdr:colOff>214521</xdr:colOff>
      <xdr:row>31</xdr:row>
      <xdr:rowOff>0</xdr:rowOff>
    </xdr:to>
    <xdr:pic>
      <xdr:nvPicPr>
        <xdr:cNvPr id="2089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21088" y="5723283"/>
          <a:ext cx="628650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223631</xdr:colOff>
      <xdr:row>36</xdr:row>
      <xdr:rowOff>0</xdr:rowOff>
    </xdr:from>
    <xdr:to>
      <xdr:col>4</xdr:col>
      <xdr:colOff>138321</xdr:colOff>
      <xdr:row>38</xdr:row>
      <xdr:rowOff>171450</xdr:rowOff>
    </xdr:to>
    <xdr:pic>
      <xdr:nvPicPr>
        <xdr:cNvPr id="1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61392" y="6866283"/>
          <a:ext cx="1827972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207066</xdr:colOff>
      <xdr:row>36</xdr:row>
      <xdr:rowOff>33131</xdr:rowOff>
    </xdr:from>
    <xdr:to>
      <xdr:col>8</xdr:col>
      <xdr:colOff>207066</xdr:colOff>
      <xdr:row>37</xdr:row>
      <xdr:rowOff>33131</xdr:rowOff>
    </xdr:to>
    <xdr:pic>
      <xdr:nvPicPr>
        <xdr:cNvPr id="2090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04523" y="6899414"/>
          <a:ext cx="637760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248478</xdr:colOff>
      <xdr:row>40</xdr:row>
      <xdr:rowOff>0</xdr:rowOff>
    </xdr:from>
    <xdr:to>
      <xdr:col>4</xdr:col>
      <xdr:colOff>153643</xdr:colOff>
      <xdr:row>42</xdr:row>
      <xdr:rowOff>171450</xdr:rowOff>
    </xdr:to>
    <xdr:pic>
      <xdr:nvPicPr>
        <xdr:cNvPr id="2091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86239" y="7628283"/>
          <a:ext cx="1818447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190500</xdr:colOff>
      <xdr:row>40</xdr:row>
      <xdr:rowOff>24848</xdr:rowOff>
    </xdr:from>
    <xdr:to>
      <xdr:col>8</xdr:col>
      <xdr:colOff>181390</xdr:colOff>
      <xdr:row>41</xdr:row>
      <xdr:rowOff>24848</xdr:rowOff>
    </xdr:to>
    <xdr:pic>
      <xdr:nvPicPr>
        <xdr:cNvPr id="2092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687957" y="7653131"/>
          <a:ext cx="628650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240196</xdr:colOff>
      <xdr:row>44</xdr:row>
      <xdr:rowOff>8284</xdr:rowOff>
    </xdr:from>
    <xdr:to>
      <xdr:col>4</xdr:col>
      <xdr:colOff>145361</xdr:colOff>
      <xdr:row>46</xdr:row>
      <xdr:rowOff>179734</xdr:rowOff>
    </xdr:to>
    <xdr:pic>
      <xdr:nvPicPr>
        <xdr:cNvPr id="2094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77957" y="8398567"/>
          <a:ext cx="1818447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198783</xdr:colOff>
      <xdr:row>44</xdr:row>
      <xdr:rowOff>16565</xdr:rowOff>
    </xdr:from>
    <xdr:to>
      <xdr:col>8</xdr:col>
      <xdr:colOff>189673</xdr:colOff>
      <xdr:row>45</xdr:row>
      <xdr:rowOff>16565</xdr:rowOff>
    </xdr:to>
    <xdr:pic>
      <xdr:nvPicPr>
        <xdr:cNvPr id="2096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696240" y="8406848"/>
          <a:ext cx="628650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231915</xdr:colOff>
      <xdr:row>50</xdr:row>
      <xdr:rowOff>8283</xdr:rowOff>
    </xdr:from>
    <xdr:to>
      <xdr:col>4</xdr:col>
      <xdr:colOff>137080</xdr:colOff>
      <xdr:row>52</xdr:row>
      <xdr:rowOff>179733</xdr:rowOff>
    </xdr:to>
    <xdr:pic>
      <xdr:nvPicPr>
        <xdr:cNvPr id="2097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69676" y="9541566"/>
          <a:ext cx="1818447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198783</xdr:colOff>
      <xdr:row>50</xdr:row>
      <xdr:rowOff>24848</xdr:rowOff>
    </xdr:from>
    <xdr:to>
      <xdr:col>8</xdr:col>
      <xdr:colOff>189673</xdr:colOff>
      <xdr:row>51</xdr:row>
      <xdr:rowOff>24848</xdr:rowOff>
    </xdr:to>
    <xdr:pic>
      <xdr:nvPicPr>
        <xdr:cNvPr id="2098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696240" y="9558131"/>
          <a:ext cx="628650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240196</xdr:colOff>
      <xdr:row>54</xdr:row>
      <xdr:rowOff>0</xdr:rowOff>
    </xdr:from>
    <xdr:to>
      <xdr:col>4</xdr:col>
      <xdr:colOff>145361</xdr:colOff>
      <xdr:row>56</xdr:row>
      <xdr:rowOff>171450</xdr:rowOff>
    </xdr:to>
    <xdr:pic>
      <xdr:nvPicPr>
        <xdr:cNvPr id="2099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77957" y="10295283"/>
          <a:ext cx="1818447" cy="5524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198783</xdr:colOff>
      <xdr:row>54</xdr:row>
      <xdr:rowOff>41413</xdr:rowOff>
    </xdr:from>
    <xdr:to>
      <xdr:col>8</xdr:col>
      <xdr:colOff>189673</xdr:colOff>
      <xdr:row>55</xdr:row>
      <xdr:rowOff>41413</xdr:rowOff>
    </xdr:to>
    <xdr:pic>
      <xdr:nvPicPr>
        <xdr:cNvPr id="2100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696240" y="10336696"/>
          <a:ext cx="628650" cy="1905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133350</xdr:rowOff>
    </xdr:from>
    <xdr:to>
      <xdr:col>9</xdr:col>
      <xdr:colOff>581024</xdr:colOff>
      <xdr:row>10</xdr:row>
      <xdr:rowOff>142876</xdr:rowOff>
    </xdr:to>
    <xdr:sp macro="" textlink="">
      <xdr:nvSpPr>
        <xdr:cNvPr id="2" name="TextBox 1"/>
        <xdr:cNvSpPr txBox="1"/>
      </xdr:nvSpPr>
      <xdr:spPr>
        <a:xfrm>
          <a:off x="285750" y="323850"/>
          <a:ext cx="6038849" cy="1724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400" b="1">
              <a:solidFill>
                <a:schemeClr val="dk1"/>
              </a:solidFill>
              <a:latin typeface="+mn-lt"/>
              <a:ea typeface="+mn-ea"/>
              <a:cs typeface="+mn-cs"/>
            </a:rPr>
            <a:t>Выбор типа, числа и номинальной мощности трансформаторов понижающих подстанций</a:t>
          </a:r>
          <a:endParaRPr lang="en-US" sz="14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Выбор типа, числа и номинальной мощности трансформаторов на подстанциях района осуществляется в зависимости от мощности потребителей и степени их ответственности (категории). В случае потребителей 1 и 2 категорий предусматривается установка двух трансформаторов</a:t>
          </a:r>
        </a:p>
        <a:p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Мощность трансформатора определяется приближённо по формуле</a:t>
          </a:r>
          <a:r>
            <a:rPr lang="ru-RU" sz="1100" i="1">
              <a:solidFill>
                <a:schemeClr val="dk1"/>
              </a:solidFill>
              <a:latin typeface="+mn-lt"/>
              <a:ea typeface="+mn-ea"/>
              <a:cs typeface="+mn-cs"/>
            </a:rPr>
            <a:t> :</a:t>
          </a:r>
          <a:endParaRPr lang="ru-RU" sz="1100"/>
        </a:p>
      </xdr:txBody>
    </xdr:sp>
    <xdr:clientData/>
  </xdr:twoCellAnchor>
  <xdr:twoCellAnchor>
    <xdr:from>
      <xdr:col>2</xdr:col>
      <xdr:colOff>257175</xdr:colOff>
      <xdr:row>15</xdr:row>
      <xdr:rowOff>47625</xdr:rowOff>
    </xdr:from>
    <xdr:to>
      <xdr:col>6</xdr:col>
      <xdr:colOff>171450</xdr:colOff>
      <xdr:row>16</xdr:row>
      <xdr:rowOff>142875</xdr:rowOff>
    </xdr:to>
    <xdr:pic>
      <xdr:nvPicPr>
        <xdr:cNvPr id="410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33525" y="2905125"/>
          <a:ext cx="2466975" cy="2857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533400</xdr:colOff>
      <xdr:row>17</xdr:row>
      <xdr:rowOff>19050</xdr:rowOff>
    </xdr:from>
    <xdr:to>
      <xdr:col>6</xdr:col>
      <xdr:colOff>161925</xdr:colOff>
      <xdr:row>18</xdr:row>
      <xdr:rowOff>19050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086100" y="3257550"/>
          <a:ext cx="904875" cy="1905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533400</xdr:colOff>
      <xdr:row>19</xdr:row>
      <xdr:rowOff>47625</xdr:rowOff>
    </xdr:from>
    <xdr:to>
      <xdr:col>6</xdr:col>
      <xdr:colOff>161925</xdr:colOff>
      <xdr:row>20</xdr:row>
      <xdr:rowOff>47625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086100" y="3667125"/>
          <a:ext cx="904875" cy="1905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533400</xdr:colOff>
      <xdr:row>21</xdr:row>
      <xdr:rowOff>9525</xdr:rowOff>
    </xdr:from>
    <xdr:to>
      <xdr:col>6</xdr:col>
      <xdr:colOff>161925</xdr:colOff>
      <xdr:row>22</xdr:row>
      <xdr:rowOff>9525</xdr:rowOff>
    </xdr:to>
    <xdr:pic>
      <xdr:nvPicPr>
        <xdr:cNvPr id="410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086100" y="4010025"/>
          <a:ext cx="904875" cy="1905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88526</xdr:colOff>
      <xdr:row>33</xdr:row>
      <xdr:rowOff>85725</xdr:rowOff>
    </xdr:from>
    <xdr:to>
      <xdr:col>9</xdr:col>
      <xdr:colOff>537881</xdr:colOff>
      <xdr:row>39</xdr:row>
      <xdr:rowOff>66675</xdr:rowOff>
    </xdr:to>
    <xdr:sp macro="" textlink="">
      <xdr:nvSpPr>
        <xdr:cNvPr id="7" name="TextBox 6"/>
        <xdr:cNvSpPr txBox="1"/>
      </xdr:nvSpPr>
      <xdr:spPr>
        <a:xfrm>
          <a:off x="88526" y="6372225"/>
          <a:ext cx="6497730" cy="1123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 baseline="0"/>
            <a:t>        </a:t>
          </a:r>
          <a:r>
            <a:rPr lang="ru-RU" sz="1100"/>
            <a:t>Для выбранных тр-ров следует оценить их нагрузочную способность по коэффициентам загрузки в нормальном</a:t>
          </a:r>
          <a:r>
            <a:rPr lang="ru-RU" sz="1100" baseline="0"/>
            <a:t> и пслеаварийном (при отключении одного трансформатора) режиме работы.</a:t>
          </a:r>
        </a:p>
        <a:p>
          <a:r>
            <a:rPr lang="ru-RU" sz="1100" baseline="0"/>
            <a:t>Коэффициент  загрузки  тр-ра в нормальном режиме работы может достич значения равного или более 1.0 через 15-20 лет, при темпах роста нагрузки в течение года  ≈ 2.0 % (</a:t>
          </a:r>
          <a:r>
            <a:rPr lang="ru-RU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ч. 2.3)</a:t>
          </a:r>
          <a:r>
            <a:rPr lang="ru-RU" sz="1100" baseline="0"/>
            <a:t> </a:t>
          </a:r>
          <a:r>
            <a:rPr lang="en-US" sz="1100" baseline="0"/>
            <a:t>[3]</a:t>
          </a:r>
          <a:r>
            <a:rPr lang="ru-RU" sz="1100" baseline="0"/>
            <a:t>.</a:t>
          </a:r>
        </a:p>
        <a:p>
          <a:r>
            <a:rPr lang="ru-RU" sz="1100" baseline="0"/>
            <a:t>        Длительная работа тр-ра гарантируется присоблюдении нормативных условий их эксплуатации :</a:t>
          </a:r>
        </a:p>
        <a:p>
          <a:endParaRPr lang="ru-RU" sz="1100"/>
        </a:p>
      </xdr:txBody>
    </xdr:sp>
    <xdr:clientData/>
  </xdr:twoCellAnchor>
  <xdr:twoCellAnchor>
    <xdr:from>
      <xdr:col>5</xdr:col>
      <xdr:colOff>323850</xdr:colOff>
      <xdr:row>31</xdr:row>
      <xdr:rowOff>0</xdr:rowOff>
    </xdr:from>
    <xdr:to>
      <xdr:col>6</xdr:col>
      <xdr:colOff>161925</xdr:colOff>
      <xdr:row>32</xdr:row>
      <xdr:rowOff>0</xdr:rowOff>
    </xdr:to>
    <xdr:pic>
      <xdr:nvPicPr>
        <xdr:cNvPr id="411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514725" y="5905500"/>
          <a:ext cx="476250" cy="1905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285750</xdr:colOff>
      <xdr:row>50</xdr:row>
      <xdr:rowOff>142875</xdr:rowOff>
    </xdr:from>
    <xdr:to>
      <xdr:col>6</xdr:col>
      <xdr:colOff>142875</xdr:colOff>
      <xdr:row>52</xdr:row>
      <xdr:rowOff>133350</xdr:rowOff>
    </xdr:to>
    <xdr:pic>
      <xdr:nvPicPr>
        <xdr:cNvPr id="4125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38450" y="6810375"/>
          <a:ext cx="1133475" cy="371475"/>
        </a:xfrm>
        <a:prstGeom prst="rect">
          <a:avLst/>
        </a:prstGeom>
        <a:noFill/>
      </xdr:spPr>
    </xdr:pic>
    <xdr:clientData/>
  </xdr:twoCellAnchor>
  <xdr:twoCellAnchor>
    <xdr:from>
      <xdr:col>4</xdr:col>
      <xdr:colOff>304800</xdr:colOff>
      <xdr:row>56</xdr:row>
      <xdr:rowOff>142875</xdr:rowOff>
    </xdr:from>
    <xdr:to>
      <xdr:col>6</xdr:col>
      <xdr:colOff>123825</xdr:colOff>
      <xdr:row>58</xdr:row>
      <xdr:rowOff>133350</xdr:rowOff>
    </xdr:to>
    <xdr:pic>
      <xdr:nvPicPr>
        <xdr:cNvPr id="4126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95600" y="7953375"/>
          <a:ext cx="11144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65</xdr:row>
      <xdr:rowOff>19050</xdr:rowOff>
    </xdr:from>
    <xdr:to>
      <xdr:col>2</xdr:col>
      <xdr:colOff>352425</xdr:colOff>
      <xdr:row>66</xdr:row>
      <xdr:rowOff>38100</xdr:rowOff>
    </xdr:to>
    <xdr:pic>
      <xdr:nvPicPr>
        <xdr:cNvPr id="4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8401050"/>
          <a:ext cx="8477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54</xdr:row>
      <xdr:rowOff>76200</xdr:rowOff>
    </xdr:from>
    <xdr:to>
      <xdr:col>3</xdr:col>
      <xdr:colOff>200025</xdr:colOff>
      <xdr:row>55</xdr:row>
      <xdr:rowOff>95250</xdr:rowOff>
    </xdr:to>
    <xdr:pic>
      <xdr:nvPicPr>
        <xdr:cNvPr id="411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7505700"/>
          <a:ext cx="131445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66</xdr:row>
      <xdr:rowOff>66675</xdr:rowOff>
    </xdr:from>
    <xdr:to>
      <xdr:col>3</xdr:col>
      <xdr:colOff>266700</xdr:colOff>
      <xdr:row>67</xdr:row>
      <xdr:rowOff>85725</xdr:rowOff>
    </xdr:to>
    <xdr:pic>
      <xdr:nvPicPr>
        <xdr:cNvPr id="4117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8639175"/>
          <a:ext cx="1409700" cy="2095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523875</xdr:colOff>
      <xdr:row>87</xdr:row>
      <xdr:rowOff>47625</xdr:rowOff>
    </xdr:from>
    <xdr:to>
      <xdr:col>6</xdr:col>
      <xdr:colOff>361950</xdr:colOff>
      <xdr:row>88</xdr:row>
      <xdr:rowOff>47625</xdr:rowOff>
    </xdr:to>
    <xdr:pic>
      <xdr:nvPicPr>
        <xdr:cNvPr id="1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62375" y="11096625"/>
          <a:ext cx="485775" cy="1905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114301</xdr:colOff>
      <xdr:row>88</xdr:row>
      <xdr:rowOff>114300</xdr:rowOff>
    </xdr:from>
    <xdr:to>
      <xdr:col>9</xdr:col>
      <xdr:colOff>481854</xdr:colOff>
      <xdr:row>91</xdr:row>
      <xdr:rowOff>114300</xdr:rowOff>
    </xdr:to>
    <xdr:sp macro="" textlink="">
      <xdr:nvSpPr>
        <xdr:cNvPr id="18" name="TextBox 17"/>
        <xdr:cNvSpPr txBox="1"/>
      </xdr:nvSpPr>
      <xdr:spPr>
        <a:xfrm>
          <a:off x="114301" y="14211300"/>
          <a:ext cx="6217024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Для выбранных тр-ров оцениваем их нагрузочную способность по коэффициентам загрузки в нормальном</a:t>
          </a:r>
          <a:r>
            <a:rPr lang="ru-RU" sz="1100" baseline="0"/>
            <a:t> и пслеаварийном (при отключении одного трансформатора) режиме работы:</a:t>
          </a:r>
          <a:endParaRPr lang="ru-RU" sz="1100"/>
        </a:p>
      </xdr:txBody>
    </xdr:sp>
    <xdr:clientData/>
  </xdr:twoCellAnchor>
  <xdr:twoCellAnchor>
    <xdr:from>
      <xdr:col>4</xdr:col>
      <xdr:colOff>295275</xdr:colOff>
      <xdr:row>91</xdr:row>
      <xdr:rowOff>123825</xdr:rowOff>
    </xdr:from>
    <xdr:to>
      <xdr:col>6</xdr:col>
      <xdr:colOff>152400</xdr:colOff>
      <xdr:row>93</xdr:row>
      <xdr:rowOff>114300</xdr:rowOff>
    </xdr:to>
    <xdr:pic>
      <xdr:nvPicPr>
        <xdr:cNvPr id="19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86075" y="11934825"/>
          <a:ext cx="11525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95</xdr:row>
      <xdr:rowOff>76200</xdr:rowOff>
    </xdr:from>
    <xdr:to>
      <xdr:col>3</xdr:col>
      <xdr:colOff>200025</xdr:colOff>
      <xdr:row>96</xdr:row>
      <xdr:rowOff>95250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7505700"/>
          <a:ext cx="1314450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304800</xdr:colOff>
      <xdr:row>100</xdr:row>
      <xdr:rowOff>142875</xdr:rowOff>
    </xdr:from>
    <xdr:to>
      <xdr:col>6</xdr:col>
      <xdr:colOff>123825</xdr:colOff>
      <xdr:row>102</xdr:row>
      <xdr:rowOff>133350</xdr:rowOff>
    </xdr:to>
    <xdr:pic>
      <xdr:nvPicPr>
        <xdr:cNvPr id="22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95600" y="7953375"/>
          <a:ext cx="11144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103</xdr:row>
      <xdr:rowOff>19050</xdr:rowOff>
    </xdr:from>
    <xdr:to>
      <xdr:col>2</xdr:col>
      <xdr:colOff>352425</xdr:colOff>
      <xdr:row>104</xdr:row>
      <xdr:rowOff>38100</xdr:rowOff>
    </xdr:to>
    <xdr:pic>
      <xdr:nvPicPr>
        <xdr:cNvPr id="2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8401050"/>
          <a:ext cx="8477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104</xdr:row>
      <xdr:rowOff>66675</xdr:rowOff>
    </xdr:from>
    <xdr:to>
      <xdr:col>3</xdr:col>
      <xdr:colOff>266700</xdr:colOff>
      <xdr:row>105</xdr:row>
      <xdr:rowOff>85725</xdr:rowOff>
    </xdr:to>
    <xdr:pic>
      <xdr:nvPicPr>
        <xdr:cNvPr id="24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8639175"/>
          <a:ext cx="1409700" cy="2095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523875</xdr:colOff>
      <xdr:row>119</xdr:row>
      <xdr:rowOff>47625</xdr:rowOff>
    </xdr:from>
    <xdr:to>
      <xdr:col>6</xdr:col>
      <xdr:colOff>361950</xdr:colOff>
      <xdr:row>120</xdr:row>
      <xdr:rowOff>47625</xdr:rowOff>
    </xdr:to>
    <xdr:pic>
      <xdr:nvPicPr>
        <xdr:cNvPr id="2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62375" y="11096625"/>
          <a:ext cx="485775" cy="1905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114301</xdr:colOff>
      <xdr:row>120</xdr:row>
      <xdr:rowOff>114300</xdr:rowOff>
    </xdr:from>
    <xdr:to>
      <xdr:col>9</xdr:col>
      <xdr:colOff>392205</xdr:colOff>
      <xdr:row>123</xdr:row>
      <xdr:rowOff>114300</xdr:rowOff>
    </xdr:to>
    <xdr:sp macro="" textlink="">
      <xdr:nvSpPr>
        <xdr:cNvPr id="26" name="TextBox 25"/>
        <xdr:cNvSpPr txBox="1"/>
      </xdr:nvSpPr>
      <xdr:spPr>
        <a:xfrm>
          <a:off x="114301" y="18973800"/>
          <a:ext cx="6127375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Для выбранных тр-ров оценивем их нагрузочную способность по коэффициентам загрузки в нормальном</a:t>
          </a:r>
          <a:r>
            <a:rPr lang="ru-RU" sz="1100" baseline="0"/>
            <a:t> и пслеаварийном (при отключении одного трансформатора) режиме работы:</a:t>
          </a:r>
          <a:endParaRPr lang="ru-RU" sz="1100"/>
        </a:p>
      </xdr:txBody>
    </xdr:sp>
    <xdr:clientData/>
  </xdr:twoCellAnchor>
  <xdr:twoCellAnchor>
    <xdr:from>
      <xdr:col>4</xdr:col>
      <xdr:colOff>295275</xdr:colOff>
      <xdr:row>123</xdr:row>
      <xdr:rowOff>123825</xdr:rowOff>
    </xdr:from>
    <xdr:to>
      <xdr:col>6</xdr:col>
      <xdr:colOff>152400</xdr:colOff>
      <xdr:row>125</xdr:row>
      <xdr:rowOff>114300</xdr:rowOff>
    </xdr:to>
    <xdr:pic>
      <xdr:nvPicPr>
        <xdr:cNvPr id="27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86075" y="11934825"/>
          <a:ext cx="11525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127</xdr:row>
      <xdr:rowOff>76200</xdr:rowOff>
    </xdr:from>
    <xdr:to>
      <xdr:col>3</xdr:col>
      <xdr:colOff>200025</xdr:colOff>
      <xdr:row>128</xdr:row>
      <xdr:rowOff>95250</xdr:rowOff>
    </xdr:to>
    <xdr:pic>
      <xdr:nvPicPr>
        <xdr:cNvPr id="29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12649200"/>
          <a:ext cx="1314450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304800</xdr:colOff>
      <xdr:row>129</xdr:row>
      <xdr:rowOff>142875</xdr:rowOff>
    </xdr:from>
    <xdr:to>
      <xdr:col>6</xdr:col>
      <xdr:colOff>123825</xdr:colOff>
      <xdr:row>131</xdr:row>
      <xdr:rowOff>133350</xdr:rowOff>
    </xdr:to>
    <xdr:pic>
      <xdr:nvPicPr>
        <xdr:cNvPr id="30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95600" y="13096875"/>
          <a:ext cx="11144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132</xdr:row>
      <xdr:rowOff>19050</xdr:rowOff>
    </xdr:from>
    <xdr:to>
      <xdr:col>2</xdr:col>
      <xdr:colOff>352425</xdr:colOff>
      <xdr:row>133</xdr:row>
      <xdr:rowOff>38100</xdr:rowOff>
    </xdr:to>
    <xdr:pic>
      <xdr:nvPicPr>
        <xdr:cNvPr id="3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13544550"/>
          <a:ext cx="8477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133</xdr:row>
      <xdr:rowOff>66675</xdr:rowOff>
    </xdr:from>
    <xdr:to>
      <xdr:col>3</xdr:col>
      <xdr:colOff>266700</xdr:colOff>
      <xdr:row>134</xdr:row>
      <xdr:rowOff>85725</xdr:rowOff>
    </xdr:to>
    <xdr:pic>
      <xdr:nvPicPr>
        <xdr:cNvPr id="3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13782675"/>
          <a:ext cx="1409700" cy="2095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523875</xdr:colOff>
      <xdr:row>144</xdr:row>
      <xdr:rowOff>47625</xdr:rowOff>
    </xdr:from>
    <xdr:to>
      <xdr:col>6</xdr:col>
      <xdr:colOff>361950</xdr:colOff>
      <xdr:row>145</xdr:row>
      <xdr:rowOff>47625</xdr:rowOff>
    </xdr:to>
    <xdr:pic>
      <xdr:nvPicPr>
        <xdr:cNvPr id="3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62375" y="15859125"/>
          <a:ext cx="485775" cy="1905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114300</xdr:colOff>
      <xdr:row>145</xdr:row>
      <xdr:rowOff>114300</xdr:rowOff>
    </xdr:from>
    <xdr:to>
      <xdr:col>9</xdr:col>
      <xdr:colOff>628650</xdr:colOff>
      <xdr:row>148</xdr:row>
      <xdr:rowOff>114300</xdr:rowOff>
    </xdr:to>
    <xdr:sp macro="" textlink="">
      <xdr:nvSpPr>
        <xdr:cNvPr id="34" name="TextBox 33"/>
        <xdr:cNvSpPr txBox="1"/>
      </xdr:nvSpPr>
      <xdr:spPr>
        <a:xfrm>
          <a:off x="114300" y="16116300"/>
          <a:ext cx="63436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Для выбранных тр-ров оцениваем их нагрузочную способность по коэффициентам загрузки в нормальном</a:t>
          </a:r>
          <a:r>
            <a:rPr lang="ru-RU" sz="1100" baseline="0"/>
            <a:t> и пслеаварийном (при отключении одного трансформатора) режиме работы:</a:t>
          </a:r>
          <a:endParaRPr lang="ru-RU" sz="1100"/>
        </a:p>
      </xdr:txBody>
    </xdr:sp>
    <xdr:clientData/>
  </xdr:twoCellAnchor>
  <xdr:twoCellAnchor>
    <xdr:from>
      <xdr:col>4</xdr:col>
      <xdr:colOff>295275</xdr:colOff>
      <xdr:row>151</xdr:row>
      <xdr:rowOff>123825</xdr:rowOff>
    </xdr:from>
    <xdr:to>
      <xdr:col>6</xdr:col>
      <xdr:colOff>152400</xdr:colOff>
      <xdr:row>153</xdr:row>
      <xdr:rowOff>114300</xdr:rowOff>
    </xdr:to>
    <xdr:pic>
      <xdr:nvPicPr>
        <xdr:cNvPr id="35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86075" y="16697325"/>
          <a:ext cx="11525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155</xdr:row>
      <xdr:rowOff>76200</xdr:rowOff>
    </xdr:from>
    <xdr:to>
      <xdr:col>3</xdr:col>
      <xdr:colOff>200025</xdr:colOff>
      <xdr:row>156</xdr:row>
      <xdr:rowOff>95250</xdr:rowOff>
    </xdr:to>
    <xdr:pic>
      <xdr:nvPicPr>
        <xdr:cNvPr id="37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17411700"/>
          <a:ext cx="1314450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304800</xdr:colOff>
      <xdr:row>157</xdr:row>
      <xdr:rowOff>142875</xdr:rowOff>
    </xdr:from>
    <xdr:to>
      <xdr:col>6</xdr:col>
      <xdr:colOff>123825</xdr:colOff>
      <xdr:row>159</xdr:row>
      <xdr:rowOff>133350</xdr:rowOff>
    </xdr:to>
    <xdr:pic>
      <xdr:nvPicPr>
        <xdr:cNvPr id="38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95600" y="17859375"/>
          <a:ext cx="11144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160</xdr:row>
      <xdr:rowOff>19050</xdr:rowOff>
    </xdr:from>
    <xdr:to>
      <xdr:col>2</xdr:col>
      <xdr:colOff>352425</xdr:colOff>
      <xdr:row>161</xdr:row>
      <xdr:rowOff>38100</xdr:rowOff>
    </xdr:to>
    <xdr:pic>
      <xdr:nvPicPr>
        <xdr:cNvPr id="39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18307050"/>
          <a:ext cx="8477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152400</xdr:colOff>
      <xdr:row>161</xdr:row>
      <xdr:rowOff>66675</xdr:rowOff>
    </xdr:from>
    <xdr:to>
      <xdr:col>3</xdr:col>
      <xdr:colOff>266700</xdr:colOff>
      <xdr:row>162</xdr:row>
      <xdr:rowOff>85725</xdr:rowOff>
    </xdr:to>
    <xdr:pic>
      <xdr:nvPicPr>
        <xdr:cNvPr id="40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0100" y="18545175"/>
          <a:ext cx="14097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53</xdr:row>
      <xdr:rowOff>38100</xdr:rowOff>
    </xdr:from>
    <xdr:to>
      <xdr:col>2</xdr:col>
      <xdr:colOff>342900</xdr:colOff>
      <xdr:row>54</xdr:row>
      <xdr:rowOff>57150</xdr:rowOff>
    </xdr:to>
    <xdr:pic>
      <xdr:nvPicPr>
        <xdr:cNvPr id="4182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7277100"/>
          <a:ext cx="8096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266700</xdr:colOff>
      <xdr:row>40</xdr:row>
      <xdr:rowOff>47625</xdr:rowOff>
    </xdr:from>
    <xdr:to>
      <xdr:col>5</xdr:col>
      <xdr:colOff>619125</xdr:colOff>
      <xdr:row>41</xdr:row>
      <xdr:rowOff>66675</xdr:rowOff>
    </xdr:to>
    <xdr:pic>
      <xdr:nvPicPr>
        <xdr:cNvPr id="4185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57500" y="7096125"/>
          <a:ext cx="10001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257175</xdr:colOff>
      <xdr:row>41</xdr:row>
      <xdr:rowOff>95250</xdr:rowOff>
    </xdr:from>
    <xdr:to>
      <xdr:col>5</xdr:col>
      <xdr:colOff>381000</xdr:colOff>
      <xdr:row>42</xdr:row>
      <xdr:rowOff>114300</xdr:rowOff>
    </xdr:to>
    <xdr:pic>
      <xdr:nvPicPr>
        <xdr:cNvPr id="4184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47975" y="7334250"/>
          <a:ext cx="7715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257175</xdr:colOff>
      <xdr:row>42</xdr:row>
      <xdr:rowOff>114300</xdr:rowOff>
    </xdr:from>
    <xdr:to>
      <xdr:col>6</xdr:col>
      <xdr:colOff>485775</xdr:colOff>
      <xdr:row>43</xdr:row>
      <xdr:rowOff>142875</xdr:rowOff>
    </xdr:to>
    <xdr:pic>
      <xdr:nvPicPr>
        <xdr:cNvPr id="4183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47975" y="7543800"/>
          <a:ext cx="152400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94</xdr:row>
      <xdr:rowOff>57150</xdr:rowOff>
    </xdr:from>
    <xdr:to>
      <xdr:col>2</xdr:col>
      <xdr:colOff>342900</xdr:colOff>
      <xdr:row>95</xdr:row>
      <xdr:rowOff>76200</xdr:rowOff>
    </xdr:to>
    <xdr:pic>
      <xdr:nvPicPr>
        <xdr:cNvPr id="4186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13582650"/>
          <a:ext cx="8096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126</xdr:row>
      <xdr:rowOff>47625</xdr:rowOff>
    </xdr:from>
    <xdr:to>
      <xdr:col>2</xdr:col>
      <xdr:colOff>342900</xdr:colOff>
      <xdr:row>127</xdr:row>
      <xdr:rowOff>66675</xdr:rowOff>
    </xdr:to>
    <xdr:pic>
      <xdr:nvPicPr>
        <xdr:cNvPr id="4187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18335625"/>
          <a:ext cx="8096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171450</xdr:colOff>
      <xdr:row>154</xdr:row>
      <xdr:rowOff>38100</xdr:rowOff>
    </xdr:from>
    <xdr:to>
      <xdr:col>2</xdr:col>
      <xdr:colOff>333375</xdr:colOff>
      <xdr:row>155</xdr:row>
      <xdr:rowOff>57150</xdr:rowOff>
    </xdr:to>
    <xdr:pic>
      <xdr:nvPicPr>
        <xdr:cNvPr id="4188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19150" y="23088600"/>
          <a:ext cx="80962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285749</xdr:colOff>
      <xdr:row>59</xdr:row>
      <xdr:rowOff>38100</xdr:rowOff>
    </xdr:from>
    <xdr:to>
      <xdr:col>9</xdr:col>
      <xdr:colOff>390525</xdr:colOff>
      <xdr:row>63</xdr:row>
      <xdr:rowOff>95250</xdr:rowOff>
    </xdr:to>
    <xdr:sp macro="" textlink="">
      <xdr:nvSpPr>
        <xdr:cNvPr id="42" name="TextBox 41"/>
        <xdr:cNvSpPr txBox="1"/>
      </xdr:nvSpPr>
      <xdr:spPr>
        <a:xfrm>
          <a:off x="285749" y="11277600"/>
          <a:ext cx="6153151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>
              <a:solidFill>
                <a:schemeClr val="accent3">
                  <a:lumMod val="75000"/>
                </a:schemeClr>
              </a:solidFill>
            </a:rPr>
            <a:t>Так как сеть вновь проектируемая у нас отсутствует реальный</a:t>
          </a:r>
          <a:r>
            <a:rPr lang="ru-RU" sz="1100" baseline="0">
              <a:solidFill>
                <a:schemeClr val="accent3">
                  <a:lumMod val="75000"/>
                </a:schemeClr>
              </a:solidFill>
            </a:rPr>
            <a:t> суточный  график нагрузки поэтому величины допустимых аварийных перегрузок трансформаторов мы будем определять ориентировочно без учёта начальной (предшествующей) загрузки (табл. П.2.7)</a:t>
          </a:r>
          <a:r>
            <a:rPr lang="en-US" sz="1100" baseline="0">
              <a:solidFill>
                <a:schemeClr val="accent3">
                  <a:lumMod val="75000"/>
                </a:schemeClr>
              </a:solidFill>
            </a:rPr>
            <a:t>[3]</a:t>
          </a:r>
          <a:r>
            <a:rPr lang="ru-RU" sz="1100" baseline="0">
              <a:solidFill>
                <a:schemeClr val="accent3">
                  <a:lumMod val="75000"/>
                </a:schemeClr>
              </a:solidFill>
            </a:rPr>
            <a:t>и при предшествующей загрузке, не первышающей 0,8</a:t>
          </a:r>
          <a:r>
            <a:rPr lang="en-US" sz="1100" baseline="0">
              <a:solidFill>
                <a:schemeClr val="accent3">
                  <a:lumMod val="75000"/>
                </a:schemeClr>
              </a:solidFill>
            </a:rPr>
            <a:t> (</a:t>
          </a:r>
          <a:r>
            <a:rPr lang="ru-RU" sz="1100" baseline="0">
              <a:solidFill>
                <a:schemeClr val="accent3">
                  <a:lumMod val="75000"/>
                </a:schemeClr>
              </a:solidFill>
            </a:rPr>
            <a:t>табл.  П.2.8</a:t>
          </a:r>
          <a:r>
            <a:rPr lang="en-US" sz="1100" baseline="0">
              <a:solidFill>
                <a:schemeClr val="accent3">
                  <a:lumMod val="75000"/>
                </a:schemeClr>
              </a:solidFill>
            </a:rPr>
            <a:t>)</a:t>
          </a:r>
          <a:r>
            <a:rPr lang="ru-RU" sz="1100" baseline="0">
              <a:solidFill>
                <a:schemeClr val="accent3">
                  <a:lumMod val="75000"/>
                </a:schemeClr>
              </a:solidFill>
            </a:rPr>
            <a:t> </a:t>
          </a:r>
          <a:r>
            <a:rPr lang="en-US" sz="1100" baseline="0">
              <a:solidFill>
                <a:schemeClr val="accent3">
                  <a:lumMod val="75000"/>
                </a:schemeClr>
              </a:solidFill>
            </a:rPr>
            <a:t>[3]</a:t>
          </a:r>
          <a:endParaRPr lang="ru-RU" sz="11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628650</xdr:colOff>
      <xdr:row>68</xdr:row>
      <xdr:rowOff>0</xdr:rowOff>
    </xdr:from>
    <xdr:to>
      <xdr:col>8</xdr:col>
      <xdr:colOff>323850</xdr:colOff>
      <xdr:row>70</xdr:row>
      <xdr:rowOff>85725</xdr:rowOff>
    </xdr:to>
    <xdr:sp macro="" textlink="">
      <xdr:nvSpPr>
        <xdr:cNvPr id="43" name="TextBox 42"/>
        <xdr:cNvSpPr txBox="1"/>
      </xdr:nvSpPr>
      <xdr:spPr>
        <a:xfrm>
          <a:off x="628650" y="12954000"/>
          <a:ext cx="509587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При  </a:t>
          </a:r>
          <a:r>
            <a:rPr lang="el-GR" sz="1400"/>
            <a:t>Θ</a:t>
          </a:r>
          <a:r>
            <a:rPr lang="ru-RU" sz="900"/>
            <a:t>охл</a:t>
          </a:r>
          <a:r>
            <a:rPr lang="ru-RU" sz="1200"/>
            <a:t>=20  ̊С аварийная  перегрузка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допустима </a:t>
          </a:r>
          <a:r>
            <a:rPr lang="ru-RU" sz="1200"/>
            <a:t> в течении 24 ч. в сутки</a:t>
          </a:r>
          <a:endParaRPr lang="ru-RU" sz="1100"/>
        </a:p>
      </xdr:txBody>
    </xdr:sp>
    <xdr:clientData/>
  </xdr:twoCellAnchor>
  <xdr:twoCellAnchor>
    <xdr:from>
      <xdr:col>0</xdr:col>
      <xdr:colOff>428625</xdr:colOff>
      <xdr:row>105</xdr:row>
      <xdr:rowOff>66675</xdr:rowOff>
    </xdr:from>
    <xdr:to>
      <xdr:col>9</xdr:col>
      <xdr:colOff>114300</xdr:colOff>
      <xdr:row>110</xdr:row>
      <xdr:rowOff>161925</xdr:rowOff>
    </xdr:to>
    <xdr:sp macro="" textlink="">
      <xdr:nvSpPr>
        <xdr:cNvPr id="44" name="TextBox 43"/>
        <xdr:cNvSpPr txBox="1"/>
      </xdr:nvSpPr>
      <xdr:spPr>
        <a:xfrm>
          <a:off x="428625" y="17973675"/>
          <a:ext cx="5734050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Необходимо</a:t>
          </a:r>
          <a:r>
            <a:rPr lang="ru-RU" sz="1100" baseline="0"/>
            <a:t> снижение температуры охлаждающей среды  тр-ра до уровня</a:t>
          </a:r>
          <a:r>
            <a:rPr lang="ru-RU" sz="1100"/>
            <a:t>  </a:t>
          </a:r>
          <a:r>
            <a:rPr lang="el-GR" sz="1400"/>
            <a:t>Θ</a:t>
          </a:r>
          <a:r>
            <a:rPr lang="ru-RU" sz="900"/>
            <a:t>охл</a:t>
          </a:r>
          <a:r>
            <a:rPr lang="ru-RU" sz="1200"/>
            <a:t>=10  ̊С . </a:t>
          </a:r>
        </a:p>
        <a:p>
          <a:r>
            <a:rPr lang="ru-RU" sz="1200"/>
            <a:t>В этом случае аварийная  перегрузка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допустима </a:t>
          </a:r>
          <a:r>
            <a:rPr lang="ru-RU" sz="1200"/>
            <a:t> в течении 6 ч. в сутки, иначе необходимо произвести отключение не мение 3 % потребителей </a:t>
          </a:r>
          <a:r>
            <a:rPr lang="en-US" sz="1200"/>
            <a:t>lll</a:t>
          </a:r>
          <a:r>
            <a:rPr lang="ru-RU" sz="1200"/>
            <a:t> категории надёжности, что увеличит время допуспимой аварийной перегрузки до 24 ч. в сутки</a:t>
          </a:r>
        </a:p>
        <a:p>
          <a:r>
            <a:rPr lang="ru-RU" sz="1200"/>
            <a:t>при </a:t>
          </a:r>
          <a:r>
            <a:rPr lang="el-GR" sz="1200">
              <a:solidFill>
                <a:schemeClr val="dk1"/>
              </a:solidFill>
              <a:latin typeface="+mn-lt"/>
              <a:ea typeface="+mn-ea"/>
              <a:cs typeface="+mn-cs"/>
            </a:rPr>
            <a:t>Θ</a:t>
          </a:r>
          <a:r>
            <a:rPr lang="ru-RU" sz="1200">
              <a:solidFill>
                <a:schemeClr val="dk1"/>
              </a:solidFill>
              <a:latin typeface="+mn-lt"/>
              <a:ea typeface="+mn-ea"/>
              <a:cs typeface="+mn-cs"/>
            </a:rPr>
            <a:t>охл=10  ̊С .</a:t>
          </a:r>
          <a:endParaRPr lang="ru-RU" sz="1100"/>
        </a:p>
      </xdr:txBody>
    </xdr:sp>
    <xdr:clientData/>
  </xdr:twoCellAnchor>
  <xdr:twoCellAnchor>
    <xdr:from>
      <xdr:col>0</xdr:col>
      <xdr:colOff>628650</xdr:colOff>
      <xdr:row>134</xdr:row>
      <xdr:rowOff>85726</xdr:rowOff>
    </xdr:from>
    <xdr:to>
      <xdr:col>8</xdr:col>
      <xdr:colOff>323850</xdr:colOff>
      <xdr:row>136</xdr:row>
      <xdr:rowOff>85726</xdr:rowOff>
    </xdr:to>
    <xdr:sp macro="" textlink="">
      <xdr:nvSpPr>
        <xdr:cNvPr id="45" name="TextBox 44"/>
        <xdr:cNvSpPr txBox="1"/>
      </xdr:nvSpPr>
      <xdr:spPr>
        <a:xfrm>
          <a:off x="628650" y="23517226"/>
          <a:ext cx="50958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При  </a:t>
          </a:r>
          <a:r>
            <a:rPr lang="el-GR" sz="1400"/>
            <a:t>Θ</a:t>
          </a:r>
          <a:r>
            <a:rPr lang="ru-RU" sz="900"/>
            <a:t>охл</a:t>
          </a:r>
          <a:r>
            <a:rPr lang="ru-RU" sz="1200"/>
            <a:t>=20  ̊С аварийная  перегрузка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допустима </a:t>
          </a:r>
          <a:r>
            <a:rPr lang="ru-RU" sz="1200"/>
            <a:t> в течении 24 ч. в сутки</a:t>
          </a:r>
          <a:endParaRPr lang="ru-RU" sz="1100"/>
        </a:p>
      </xdr:txBody>
    </xdr:sp>
    <xdr:clientData/>
  </xdr:twoCellAnchor>
  <xdr:twoCellAnchor>
    <xdr:from>
      <xdr:col>0</xdr:col>
      <xdr:colOff>638175</xdr:colOff>
      <xdr:row>162</xdr:row>
      <xdr:rowOff>76201</xdr:rowOff>
    </xdr:from>
    <xdr:to>
      <xdr:col>8</xdr:col>
      <xdr:colOff>628650</xdr:colOff>
      <xdr:row>163</xdr:row>
      <xdr:rowOff>180975</xdr:rowOff>
    </xdr:to>
    <xdr:sp macro="" textlink="">
      <xdr:nvSpPr>
        <xdr:cNvPr id="46" name="TextBox 45"/>
        <xdr:cNvSpPr txBox="1"/>
      </xdr:nvSpPr>
      <xdr:spPr>
        <a:xfrm>
          <a:off x="638175" y="28270201"/>
          <a:ext cx="53911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При  </a:t>
          </a:r>
          <a:r>
            <a:rPr lang="el-GR" sz="1400"/>
            <a:t>Θ</a:t>
          </a:r>
          <a:r>
            <a:rPr lang="ru-RU" sz="900"/>
            <a:t>охл</a:t>
          </a:r>
          <a:r>
            <a:rPr lang="ru-RU" sz="1200"/>
            <a:t>=20  ̊С аварийная  перегрузка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допустима </a:t>
          </a:r>
          <a:r>
            <a:rPr lang="ru-RU" sz="1200"/>
            <a:t> в течении 24 ч. в сутки</a:t>
          </a:r>
          <a:endParaRPr lang="ru-RU" sz="1100"/>
        </a:p>
      </xdr:txBody>
    </xdr:sp>
    <xdr:clientData/>
  </xdr:twoCellAnchor>
  <xdr:twoCellAnchor>
    <xdr:from>
      <xdr:col>0</xdr:col>
      <xdr:colOff>557558</xdr:colOff>
      <xdr:row>77</xdr:row>
      <xdr:rowOff>23697</xdr:rowOff>
    </xdr:from>
    <xdr:to>
      <xdr:col>1</xdr:col>
      <xdr:colOff>199790</xdr:colOff>
      <xdr:row>78</xdr:row>
      <xdr:rowOff>33221</xdr:rowOff>
    </xdr:to>
    <xdr:pic>
      <xdr:nvPicPr>
        <xdr:cNvPr id="5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57558" y="14692197"/>
          <a:ext cx="487866" cy="200024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</xdr:row>
      <xdr:rowOff>114300</xdr:rowOff>
    </xdr:from>
    <xdr:to>
      <xdr:col>14</xdr:col>
      <xdr:colOff>57150</xdr:colOff>
      <xdr:row>6</xdr:row>
      <xdr:rowOff>114300</xdr:rowOff>
    </xdr:to>
    <xdr:pic>
      <xdr:nvPicPr>
        <xdr:cNvPr id="51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05475" y="1066800"/>
          <a:ext cx="381000" cy="1905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5</xdr:row>
      <xdr:rowOff>114300</xdr:rowOff>
    </xdr:from>
    <xdr:to>
      <xdr:col>11</xdr:col>
      <xdr:colOff>28575</xdr:colOff>
      <xdr:row>6</xdr:row>
      <xdr:rowOff>114300</xdr:rowOff>
    </xdr:to>
    <xdr:pic>
      <xdr:nvPicPr>
        <xdr:cNvPr id="5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638675" y="1066800"/>
          <a:ext cx="381000" cy="1905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857249</xdr:colOff>
      <xdr:row>1</xdr:row>
      <xdr:rowOff>142875</xdr:rowOff>
    </xdr:from>
    <xdr:to>
      <xdr:col>11</xdr:col>
      <xdr:colOff>219074</xdr:colOff>
      <xdr:row>3</xdr:row>
      <xdr:rowOff>76200</xdr:rowOff>
    </xdr:to>
    <xdr:sp macro="" textlink="">
      <xdr:nvSpPr>
        <xdr:cNvPr id="2" name="TextBox 1"/>
        <xdr:cNvSpPr txBox="1"/>
      </xdr:nvSpPr>
      <xdr:spPr>
        <a:xfrm>
          <a:off x="1704974" y="333375"/>
          <a:ext cx="4124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сводная таблица  параметров  выбранных трансформаторов</a:t>
          </a:r>
        </a:p>
        <a:p>
          <a:endParaRPr lang="ru-RU" sz="1100"/>
        </a:p>
      </xdr:txBody>
    </xdr:sp>
    <xdr:clientData/>
  </xdr:twoCellAnchor>
  <xdr:twoCellAnchor>
    <xdr:from>
      <xdr:col>7</xdr:col>
      <xdr:colOff>76200</xdr:colOff>
      <xdr:row>6</xdr:row>
      <xdr:rowOff>0</xdr:rowOff>
    </xdr:from>
    <xdr:to>
      <xdr:col>7</xdr:col>
      <xdr:colOff>315058</xdr:colOff>
      <xdr:row>7</xdr:row>
      <xdr:rowOff>0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212123" y="1143000"/>
          <a:ext cx="238858" cy="190500"/>
        </a:xfrm>
        <a:prstGeom prst="rect">
          <a:avLst/>
        </a:prstGeom>
        <a:noFill/>
      </xdr:spPr>
    </xdr:pic>
    <xdr:clientData/>
  </xdr:twoCellAnchor>
  <xdr:twoCellAnchor>
    <xdr:from>
      <xdr:col>8</xdr:col>
      <xdr:colOff>21980</xdr:colOff>
      <xdr:row>5</xdr:row>
      <xdr:rowOff>189427</xdr:rowOff>
    </xdr:from>
    <xdr:to>
      <xdr:col>8</xdr:col>
      <xdr:colOff>317256</xdr:colOff>
      <xdr:row>7</xdr:row>
      <xdr:rowOff>5669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946280" y="1141927"/>
          <a:ext cx="295276" cy="206767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19051</xdr:colOff>
      <xdr:row>5</xdr:row>
      <xdr:rowOff>142875</xdr:rowOff>
    </xdr:from>
    <xdr:to>
      <xdr:col>3</xdr:col>
      <xdr:colOff>47625</xdr:colOff>
      <xdr:row>7</xdr:row>
      <xdr:rowOff>114300</xdr:rowOff>
    </xdr:to>
    <xdr:sp macro="" textlink="">
      <xdr:nvSpPr>
        <xdr:cNvPr id="6" name="TextBox 5"/>
        <xdr:cNvSpPr txBox="1"/>
      </xdr:nvSpPr>
      <xdr:spPr>
        <a:xfrm>
          <a:off x="866776" y="1095375"/>
          <a:ext cx="1457324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100"/>
            <a:t>тип тр-ра</a:t>
          </a:r>
        </a:p>
      </xdr:txBody>
    </xdr:sp>
    <xdr:clientData/>
  </xdr:twoCellAnchor>
  <xdr:twoCellAnchor>
    <xdr:from>
      <xdr:col>3</xdr:col>
      <xdr:colOff>485774</xdr:colOff>
      <xdr:row>4</xdr:row>
      <xdr:rowOff>180975</xdr:rowOff>
    </xdr:from>
    <xdr:to>
      <xdr:col>7</xdr:col>
      <xdr:colOff>76200</xdr:colOff>
      <xdr:row>7</xdr:row>
      <xdr:rowOff>19050</xdr:rowOff>
    </xdr:to>
    <xdr:sp macro="" textlink="">
      <xdr:nvSpPr>
        <xdr:cNvPr id="8" name="TextBox 7"/>
        <xdr:cNvSpPr txBox="1"/>
      </xdr:nvSpPr>
      <xdr:spPr>
        <a:xfrm>
          <a:off x="1971674" y="942975"/>
          <a:ext cx="1638301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номинальное напря-</a:t>
          </a:r>
        </a:p>
        <a:p>
          <a:pPr algn="ctr"/>
          <a:r>
            <a:rPr lang="ru-RU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жение</a:t>
          </a:r>
          <a:r>
            <a:rPr lang="ru-RU" sz="1000"/>
            <a:t> </a:t>
          </a:r>
          <a:r>
            <a:rPr lang="ru-RU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обмоток, кВ</a:t>
          </a:r>
          <a:r>
            <a:rPr lang="ru-RU" sz="1000"/>
            <a:t> </a:t>
          </a:r>
        </a:p>
      </xdr:txBody>
    </xdr:sp>
    <xdr:clientData/>
  </xdr:twoCellAnchor>
  <xdr:twoCellAnchor>
    <xdr:from>
      <xdr:col>5</xdr:col>
      <xdr:colOff>190500</xdr:colOff>
      <xdr:row>10</xdr:row>
      <xdr:rowOff>183930</xdr:rowOff>
    </xdr:from>
    <xdr:to>
      <xdr:col>5</xdr:col>
      <xdr:colOff>301909</xdr:colOff>
      <xdr:row>11</xdr:row>
      <xdr:rowOff>39149</xdr:rowOff>
    </xdr:to>
    <xdr:sp macro="" textlink="">
      <xdr:nvSpPr>
        <xdr:cNvPr id="19" name="TextBox 18"/>
        <xdr:cNvSpPr txBox="1"/>
      </xdr:nvSpPr>
      <xdr:spPr>
        <a:xfrm flipV="1">
          <a:off x="3514397" y="1904999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5</xdr:col>
      <xdr:colOff>190500</xdr:colOff>
      <xdr:row>11</xdr:row>
      <xdr:rowOff>177361</xdr:rowOff>
    </xdr:from>
    <xdr:to>
      <xdr:col>5</xdr:col>
      <xdr:colOff>301909</xdr:colOff>
      <xdr:row>12</xdr:row>
      <xdr:rowOff>32580</xdr:rowOff>
    </xdr:to>
    <xdr:sp macro="" textlink="">
      <xdr:nvSpPr>
        <xdr:cNvPr id="20" name="TextBox 19"/>
        <xdr:cNvSpPr txBox="1"/>
      </xdr:nvSpPr>
      <xdr:spPr>
        <a:xfrm flipV="1">
          <a:off x="3514397" y="20889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5</xdr:col>
      <xdr:colOff>190500</xdr:colOff>
      <xdr:row>12</xdr:row>
      <xdr:rowOff>177361</xdr:rowOff>
    </xdr:from>
    <xdr:to>
      <xdr:col>5</xdr:col>
      <xdr:colOff>301909</xdr:colOff>
      <xdr:row>13</xdr:row>
      <xdr:rowOff>32580</xdr:rowOff>
    </xdr:to>
    <xdr:sp macro="" textlink="">
      <xdr:nvSpPr>
        <xdr:cNvPr id="21" name="TextBox 20"/>
        <xdr:cNvSpPr txBox="1"/>
      </xdr:nvSpPr>
      <xdr:spPr>
        <a:xfrm flipV="1">
          <a:off x="3514397" y="2279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151087</xdr:colOff>
      <xdr:row>10</xdr:row>
      <xdr:rowOff>183930</xdr:rowOff>
    </xdr:from>
    <xdr:to>
      <xdr:col>10</xdr:col>
      <xdr:colOff>262496</xdr:colOff>
      <xdr:row>11</xdr:row>
      <xdr:rowOff>39149</xdr:rowOff>
    </xdr:to>
    <xdr:sp macro="" textlink="">
      <xdr:nvSpPr>
        <xdr:cNvPr id="22" name="TextBox 21"/>
        <xdr:cNvSpPr txBox="1"/>
      </xdr:nvSpPr>
      <xdr:spPr>
        <a:xfrm flipV="1">
          <a:off x="5393121" y="1904999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151087</xdr:colOff>
      <xdr:row>11</xdr:row>
      <xdr:rowOff>177361</xdr:rowOff>
    </xdr:from>
    <xdr:to>
      <xdr:col>10</xdr:col>
      <xdr:colOff>262496</xdr:colOff>
      <xdr:row>12</xdr:row>
      <xdr:rowOff>32580</xdr:rowOff>
    </xdr:to>
    <xdr:sp macro="" textlink="">
      <xdr:nvSpPr>
        <xdr:cNvPr id="23" name="TextBox 22"/>
        <xdr:cNvSpPr txBox="1"/>
      </xdr:nvSpPr>
      <xdr:spPr>
        <a:xfrm flipV="1">
          <a:off x="5393121" y="20889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151087</xdr:colOff>
      <xdr:row>12</xdr:row>
      <xdr:rowOff>177361</xdr:rowOff>
    </xdr:from>
    <xdr:to>
      <xdr:col>10</xdr:col>
      <xdr:colOff>262496</xdr:colOff>
      <xdr:row>13</xdr:row>
      <xdr:rowOff>32580</xdr:rowOff>
    </xdr:to>
    <xdr:sp macro="" textlink="">
      <xdr:nvSpPr>
        <xdr:cNvPr id="24" name="TextBox 23"/>
        <xdr:cNvSpPr txBox="1"/>
      </xdr:nvSpPr>
      <xdr:spPr>
        <a:xfrm flipV="1">
          <a:off x="5393121" y="2279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131380</xdr:colOff>
      <xdr:row>10</xdr:row>
      <xdr:rowOff>183930</xdr:rowOff>
    </xdr:from>
    <xdr:to>
      <xdr:col>11</xdr:col>
      <xdr:colOff>242789</xdr:colOff>
      <xdr:row>11</xdr:row>
      <xdr:rowOff>39149</xdr:rowOff>
    </xdr:to>
    <xdr:sp macro="" textlink="">
      <xdr:nvSpPr>
        <xdr:cNvPr id="25" name="TextBox 24"/>
        <xdr:cNvSpPr txBox="1"/>
      </xdr:nvSpPr>
      <xdr:spPr>
        <a:xfrm flipV="1">
          <a:off x="5734708" y="1904999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131380</xdr:colOff>
      <xdr:row>11</xdr:row>
      <xdr:rowOff>177361</xdr:rowOff>
    </xdr:from>
    <xdr:to>
      <xdr:col>11</xdr:col>
      <xdr:colOff>242789</xdr:colOff>
      <xdr:row>12</xdr:row>
      <xdr:rowOff>32580</xdr:rowOff>
    </xdr:to>
    <xdr:sp macro="" textlink="">
      <xdr:nvSpPr>
        <xdr:cNvPr id="26" name="TextBox 25"/>
        <xdr:cNvSpPr txBox="1"/>
      </xdr:nvSpPr>
      <xdr:spPr>
        <a:xfrm flipV="1">
          <a:off x="5734708" y="20889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131380</xdr:colOff>
      <xdr:row>12</xdr:row>
      <xdr:rowOff>177361</xdr:rowOff>
    </xdr:from>
    <xdr:to>
      <xdr:col>11</xdr:col>
      <xdr:colOff>242789</xdr:colOff>
      <xdr:row>13</xdr:row>
      <xdr:rowOff>32580</xdr:rowOff>
    </xdr:to>
    <xdr:sp macro="" textlink="">
      <xdr:nvSpPr>
        <xdr:cNvPr id="27" name="TextBox 26"/>
        <xdr:cNvSpPr txBox="1"/>
      </xdr:nvSpPr>
      <xdr:spPr>
        <a:xfrm flipV="1">
          <a:off x="5734708" y="2279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128238</xdr:colOff>
      <xdr:row>10</xdr:row>
      <xdr:rowOff>183930</xdr:rowOff>
    </xdr:from>
    <xdr:to>
      <xdr:col>13</xdr:col>
      <xdr:colOff>239647</xdr:colOff>
      <xdr:row>11</xdr:row>
      <xdr:rowOff>39149</xdr:rowOff>
    </xdr:to>
    <xdr:sp macro="" textlink="">
      <xdr:nvSpPr>
        <xdr:cNvPr id="28" name="TextBox 27"/>
        <xdr:cNvSpPr txBox="1"/>
      </xdr:nvSpPr>
      <xdr:spPr>
        <a:xfrm flipV="1">
          <a:off x="6389890" y="1906713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128238</xdr:colOff>
      <xdr:row>11</xdr:row>
      <xdr:rowOff>177361</xdr:rowOff>
    </xdr:from>
    <xdr:to>
      <xdr:col>13</xdr:col>
      <xdr:colOff>239647</xdr:colOff>
      <xdr:row>12</xdr:row>
      <xdr:rowOff>32580</xdr:rowOff>
    </xdr:to>
    <xdr:sp macro="" textlink="">
      <xdr:nvSpPr>
        <xdr:cNvPr id="29" name="TextBox 28"/>
        <xdr:cNvSpPr txBox="1"/>
      </xdr:nvSpPr>
      <xdr:spPr>
        <a:xfrm flipV="1">
          <a:off x="6389890" y="2090644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128238</xdr:colOff>
      <xdr:row>12</xdr:row>
      <xdr:rowOff>177361</xdr:rowOff>
    </xdr:from>
    <xdr:to>
      <xdr:col>13</xdr:col>
      <xdr:colOff>239647</xdr:colOff>
      <xdr:row>13</xdr:row>
      <xdr:rowOff>32580</xdr:rowOff>
    </xdr:to>
    <xdr:sp macro="" textlink="">
      <xdr:nvSpPr>
        <xdr:cNvPr id="30" name="TextBox 29"/>
        <xdr:cNvSpPr txBox="1"/>
      </xdr:nvSpPr>
      <xdr:spPr>
        <a:xfrm flipV="1">
          <a:off x="6389890" y="2281144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14</xdr:col>
      <xdr:colOff>131380</xdr:colOff>
      <xdr:row>10</xdr:row>
      <xdr:rowOff>183930</xdr:rowOff>
    </xdr:from>
    <xdr:to>
      <xdr:col>14</xdr:col>
      <xdr:colOff>242789</xdr:colOff>
      <xdr:row>11</xdr:row>
      <xdr:rowOff>39149</xdr:rowOff>
    </xdr:to>
    <xdr:sp macro="" textlink="">
      <xdr:nvSpPr>
        <xdr:cNvPr id="31" name="TextBox 30"/>
        <xdr:cNvSpPr txBox="1"/>
      </xdr:nvSpPr>
      <xdr:spPr>
        <a:xfrm flipV="1">
          <a:off x="6713483" y="1904999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14</xdr:col>
      <xdr:colOff>131380</xdr:colOff>
      <xdr:row>11</xdr:row>
      <xdr:rowOff>177361</xdr:rowOff>
    </xdr:from>
    <xdr:to>
      <xdr:col>14</xdr:col>
      <xdr:colOff>242789</xdr:colOff>
      <xdr:row>12</xdr:row>
      <xdr:rowOff>32580</xdr:rowOff>
    </xdr:to>
    <xdr:sp macro="" textlink="">
      <xdr:nvSpPr>
        <xdr:cNvPr id="32" name="TextBox 31"/>
        <xdr:cNvSpPr txBox="1"/>
      </xdr:nvSpPr>
      <xdr:spPr>
        <a:xfrm flipV="1">
          <a:off x="6713483" y="20889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14</xdr:col>
      <xdr:colOff>131380</xdr:colOff>
      <xdr:row>12</xdr:row>
      <xdr:rowOff>177361</xdr:rowOff>
    </xdr:from>
    <xdr:to>
      <xdr:col>14</xdr:col>
      <xdr:colOff>242789</xdr:colOff>
      <xdr:row>13</xdr:row>
      <xdr:rowOff>32580</xdr:rowOff>
    </xdr:to>
    <xdr:sp macro="" textlink="">
      <xdr:nvSpPr>
        <xdr:cNvPr id="33" name="TextBox 32"/>
        <xdr:cNvSpPr txBox="1"/>
      </xdr:nvSpPr>
      <xdr:spPr>
        <a:xfrm flipV="1">
          <a:off x="6713483" y="2279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5</xdr:col>
      <xdr:colOff>190500</xdr:colOff>
      <xdr:row>9</xdr:row>
      <xdr:rowOff>174405</xdr:rowOff>
    </xdr:from>
    <xdr:to>
      <xdr:col>5</xdr:col>
      <xdr:colOff>301909</xdr:colOff>
      <xdr:row>10</xdr:row>
      <xdr:rowOff>29624</xdr:rowOff>
    </xdr:to>
    <xdr:sp macro="" textlink="">
      <xdr:nvSpPr>
        <xdr:cNvPr id="34" name="TextBox 33"/>
        <xdr:cNvSpPr txBox="1"/>
      </xdr:nvSpPr>
      <xdr:spPr>
        <a:xfrm flipV="1">
          <a:off x="345757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8</xdr:col>
      <xdr:colOff>142875</xdr:colOff>
      <xdr:row>9</xdr:row>
      <xdr:rowOff>174405</xdr:rowOff>
    </xdr:from>
    <xdr:to>
      <xdr:col>8</xdr:col>
      <xdr:colOff>254284</xdr:colOff>
      <xdr:row>10</xdr:row>
      <xdr:rowOff>29624</xdr:rowOff>
    </xdr:to>
    <xdr:sp macro="" textlink="">
      <xdr:nvSpPr>
        <xdr:cNvPr id="35" name="TextBox 34"/>
        <xdr:cNvSpPr txBox="1"/>
      </xdr:nvSpPr>
      <xdr:spPr>
        <a:xfrm flipV="1">
          <a:off x="460057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9</xdr:col>
      <xdr:colOff>152400</xdr:colOff>
      <xdr:row>9</xdr:row>
      <xdr:rowOff>174405</xdr:rowOff>
    </xdr:from>
    <xdr:to>
      <xdr:col>9</xdr:col>
      <xdr:colOff>263809</xdr:colOff>
      <xdr:row>10</xdr:row>
      <xdr:rowOff>29624</xdr:rowOff>
    </xdr:to>
    <xdr:sp macro="" textlink="">
      <xdr:nvSpPr>
        <xdr:cNvPr id="36" name="TextBox 35"/>
        <xdr:cNvSpPr txBox="1"/>
      </xdr:nvSpPr>
      <xdr:spPr>
        <a:xfrm flipV="1">
          <a:off x="4953000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161925</xdr:colOff>
      <xdr:row>9</xdr:row>
      <xdr:rowOff>174405</xdr:rowOff>
    </xdr:from>
    <xdr:to>
      <xdr:col>10</xdr:col>
      <xdr:colOff>273334</xdr:colOff>
      <xdr:row>10</xdr:row>
      <xdr:rowOff>29624</xdr:rowOff>
    </xdr:to>
    <xdr:sp macro="" textlink="">
      <xdr:nvSpPr>
        <xdr:cNvPr id="37" name="TextBox 36"/>
        <xdr:cNvSpPr txBox="1"/>
      </xdr:nvSpPr>
      <xdr:spPr>
        <a:xfrm flipV="1">
          <a:off x="532447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142875</xdr:colOff>
      <xdr:row>9</xdr:row>
      <xdr:rowOff>174405</xdr:rowOff>
    </xdr:from>
    <xdr:to>
      <xdr:col>11</xdr:col>
      <xdr:colOff>254284</xdr:colOff>
      <xdr:row>10</xdr:row>
      <xdr:rowOff>29624</xdr:rowOff>
    </xdr:to>
    <xdr:sp macro="" textlink="">
      <xdr:nvSpPr>
        <xdr:cNvPr id="38" name="TextBox 37"/>
        <xdr:cNvSpPr txBox="1"/>
      </xdr:nvSpPr>
      <xdr:spPr>
        <a:xfrm flipV="1">
          <a:off x="566737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12</xdr:col>
      <xdr:colOff>152400</xdr:colOff>
      <xdr:row>9</xdr:row>
      <xdr:rowOff>174405</xdr:rowOff>
    </xdr:from>
    <xdr:to>
      <xdr:col>12</xdr:col>
      <xdr:colOff>263809</xdr:colOff>
      <xdr:row>10</xdr:row>
      <xdr:rowOff>29624</xdr:rowOff>
    </xdr:to>
    <xdr:sp macro="" textlink="">
      <xdr:nvSpPr>
        <xdr:cNvPr id="39" name="TextBox 38"/>
        <xdr:cNvSpPr txBox="1"/>
      </xdr:nvSpPr>
      <xdr:spPr>
        <a:xfrm flipV="1">
          <a:off x="6000750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133350</xdr:colOff>
      <xdr:row>9</xdr:row>
      <xdr:rowOff>174405</xdr:rowOff>
    </xdr:from>
    <xdr:to>
      <xdr:col>13</xdr:col>
      <xdr:colOff>244759</xdr:colOff>
      <xdr:row>10</xdr:row>
      <xdr:rowOff>29624</xdr:rowOff>
    </xdr:to>
    <xdr:sp macro="" textlink="">
      <xdr:nvSpPr>
        <xdr:cNvPr id="40" name="TextBox 39"/>
        <xdr:cNvSpPr txBox="1"/>
      </xdr:nvSpPr>
      <xdr:spPr>
        <a:xfrm flipV="1">
          <a:off x="631507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523874</xdr:colOff>
      <xdr:row>2</xdr:row>
      <xdr:rowOff>57150</xdr:rowOff>
    </xdr:from>
    <xdr:to>
      <xdr:col>9</xdr:col>
      <xdr:colOff>123825</xdr:colOff>
      <xdr:row>5</xdr:row>
      <xdr:rowOff>28575</xdr:rowOff>
    </xdr:to>
    <xdr:sp macro="" textlink="">
      <xdr:nvSpPr>
        <xdr:cNvPr id="2" name="TextBox 1"/>
        <xdr:cNvSpPr txBox="1"/>
      </xdr:nvSpPr>
      <xdr:spPr>
        <a:xfrm>
          <a:off x="523874" y="438150"/>
          <a:ext cx="5429251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 b="1">
              <a:solidFill>
                <a:schemeClr val="dk1"/>
              </a:solidFill>
              <a:latin typeface="+mn-lt"/>
              <a:ea typeface="+mn-ea"/>
              <a:cs typeface="+mn-cs"/>
            </a:rPr>
            <a:t>Расчет установившегося режима работы радиальной сети. Определение сечений и марок проводов линий электропередачи.</a:t>
          </a:r>
          <a:endParaRPr lang="ru-RU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ru-RU" sz="1400"/>
        </a:p>
      </xdr:txBody>
    </xdr:sp>
    <xdr:clientData/>
  </xdr:twoCellAnchor>
  <xdr:twoCellAnchor>
    <xdr:from>
      <xdr:col>1</xdr:col>
      <xdr:colOff>219075</xdr:colOff>
      <xdr:row>11</xdr:row>
      <xdr:rowOff>0</xdr:rowOff>
    </xdr:from>
    <xdr:to>
      <xdr:col>3</xdr:col>
      <xdr:colOff>9525</xdr:colOff>
      <xdr:row>11</xdr:row>
      <xdr:rowOff>1588</xdr:rowOff>
    </xdr:to>
    <xdr:cxnSp macro="">
      <xdr:nvCxnSpPr>
        <xdr:cNvPr id="6" name="Прямая соединительная линия 5"/>
        <xdr:cNvCxnSpPr/>
      </xdr:nvCxnSpPr>
      <xdr:spPr>
        <a:xfrm>
          <a:off x="866775" y="2095500"/>
          <a:ext cx="10858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10</xdr:row>
      <xdr:rowOff>95250</xdr:rowOff>
    </xdr:from>
    <xdr:to>
      <xdr:col>3</xdr:col>
      <xdr:colOff>466725</xdr:colOff>
      <xdr:row>11</xdr:row>
      <xdr:rowOff>76200</xdr:rowOff>
    </xdr:to>
    <xdr:sp macro="" textlink="">
      <xdr:nvSpPr>
        <xdr:cNvPr id="7" name="Прямоугольник 6"/>
        <xdr:cNvSpPr/>
      </xdr:nvSpPr>
      <xdr:spPr>
        <a:xfrm>
          <a:off x="1962150" y="2000250"/>
          <a:ext cx="447675" cy="1714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</xdr:col>
      <xdr:colOff>466725</xdr:colOff>
      <xdr:row>10</xdr:row>
      <xdr:rowOff>180975</xdr:rowOff>
    </xdr:from>
    <xdr:to>
      <xdr:col>5</xdr:col>
      <xdr:colOff>538781</xdr:colOff>
      <xdr:row>10</xdr:row>
      <xdr:rowOff>182563</xdr:rowOff>
    </xdr:to>
    <xdr:cxnSp macro="">
      <xdr:nvCxnSpPr>
        <xdr:cNvPr id="9" name="Прямая соединительная линия 8"/>
        <xdr:cNvCxnSpPr>
          <a:stCxn id="7" idx="3"/>
          <a:endCxn id="11" idx="1"/>
        </xdr:cNvCxnSpPr>
      </xdr:nvCxnSpPr>
      <xdr:spPr>
        <a:xfrm>
          <a:off x="2404855" y="2085975"/>
          <a:ext cx="1364143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538781</xdr:colOff>
      <xdr:row>10</xdr:row>
      <xdr:rowOff>95250</xdr:rowOff>
    </xdr:from>
    <xdr:to>
      <xdr:col>6</xdr:col>
      <xdr:colOff>338756</xdr:colOff>
      <xdr:row>11</xdr:row>
      <xdr:rowOff>76200</xdr:rowOff>
    </xdr:to>
    <xdr:sp macro="" textlink="">
      <xdr:nvSpPr>
        <xdr:cNvPr id="11" name="Прямоугольник 10"/>
        <xdr:cNvSpPr/>
      </xdr:nvSpPr>
      <xdr:spPr>
        <a:xfrm>
          <a:off x="3768998" y="2000250"/>
          <a:ext cx="446019" cy="1714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6</xdr:col>
      <xdr:colOff>338756</xdr:colOff>
      <xdr:row>10</xdr:row>
      <xdr:rowOff>177447</xdr:rowOff>
    </xdr:from>
    <xdr:to>
      <xdr:col>7</xdr:col>
      <xdr:colOff>252618</xdr:colOff>
      <xdr:row>10</xdr:row>
      <xdr:rowOff>180975</xdr:rowOff>
    </xdr:to>
    <xdr:cxnSp macro="">
      <xdr:nvCxnSpPr>
        <xdr:cNvPr id="13" name="Прямая соединительная линия 12"/>
        <xdr:cNvCxnSpPr>
          <a:stCxn id="11" idx="3"/>
          <a:endCxn id="14" idx="2"/>
        </xdr:cNvCxnSpPr>
      </xdr:nvCxnSpPr>
      <xdr:spPr>
        <a:xfrm flipV="1">
          <a:off x="4215017" y="2082447"/>
          <a:ext cx="559905" cy="35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252618</xdr:colOff>
      <xdr:row>10</xdr:row>
      <xdr:rowOff>2469</xdr:rowOff>
    </xdr:from>
    <xdr:to>
      <xdr:col>7</xdr:col>
      <xdr:colOff>571499</xdr:colOff>
      <xdr:row>11</xdr:row>
      <xdr:rowOff>161925</xdr:rowOff>
    </xdr:to>
    <xdr:sp macro="" textlink="">
      <xdr:nvSpPr>
        <xdr:cNvPr id="14" name="Овал 13"/>
        <xdr:cNvSpPr/>
      </xdr:nvSpPr>
      <xdr:spPr>
        <a:xfrm>
          <a:off x="4774922" y="1907469"/>
          <a:ext cx="318881" cy="349956"/>
        </a:xfrm>
        <a:prstGeom prst="ellipse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475008</xdr:colOff>
      <xdr:row>10</xdr:row>
      <xdr:rowOff>2469</xdr:rowOff>
    </xdr:from>
    <xdr:to>
      <xdr:col>8</xdr:col>
      <xdr:colOff>149087</xdr:colOff>
      <xdr:row>11</xdr:row>
      <xdr:rowOff>161925</xdr:rowOff>
    </xdr:to>
    <xdr:sp macro="" textlink="">
      <xdr:nvSpPr>
        <xdr:cNvPr id="15" name="Овал 14"/>
        <xdr:cNvSpPr/>
      </xdr:nvSpPr>
      <xdr:spPr>
        <a:xfrm>
          <a:off x="4997312" y="1907469"/>
          <a:ext cx="320123" cy="349956"/>
        </a:xfrm>
        <a:prstGeom prst="ellipse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148826</xdr:colOff>
      <xdr:row>11</xdr:row>
      <xdr:rowOff>0</xdr:rowOff>
    </xdr:from>
    <xdr:to>
      <xdr:col>9</xdr:col>
      <xdr:colOff>98820</xdr:colOff>
      <xdr:row>11</xdr:row>
      <xdr:rowOff>5799</xdr:rowOff>
    </xdr:to>
    <xdr:cxnSp macro="">
      <xdr:nvCxnSpPr>
        <xdr:cNvPr id="19" name="Прямая со стрелкой 18"/>
        <xdr:cNvCxnSpPr/>
      </xdr:nvCxnSpPr>
      <xdr:spPr>
        <a:xfrm>
          <a:off x="5339951" y="2095500"/>
          <a:ext cx="598885" cy="5799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213518</xdr:colOff>
      <xdr:row>10</xdr:row>
      <xdr:rowOff>42466</xdr:rowOff>
    </xdr:from>
    <xdr:to>
      <xdr:col>1</xdr:col>
      <xdr:colOff>215106</xdr:colOff>
      <xdr:row>11</xdr:row>
      <xdr:rowOff>149622</xdr:rowOff>
    </xdr:to>
    <xdr:cxnSp macro="">
      <xdr:nvCxnSpPr>
        <xdr:cNvPr id="48" name="Прямая соединительная линия 47"/>
        <xdr:cNvCxnSpPr/>
      </xdr:nvCxnSpPr>
      <xdr:spPr>
        <a:xfrm rot="5400000">
          <a:off x="714375" y="2095500"/>
          <a:ext cx="2976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330748</xdr:colOff>
      <xdr:row>10</xdr:row>
      <xdr:rowOff>42466</xdr:rowOff>
    </xdr:from>
    <xdr:to>
      <xdr:col>8</xdr:col>
      <xdr:colOff>332336</xdr:colOff>
      <xdr:row>11</xdr:row>
      <xdr:rowOff>149622</xdr:rowOff>
    </xdr:to>
    <xdr:cxnSp macro="">
      <xdr:nvCxnSpPr>
        <xdr:cNvPr id="50" name="Прямая соединительная линия 49"/>
        <xdr:cNvCxnSpPr/>
      </xdr:nvCxnSpPr>
      <xdr:spPr>
        <a:xfrm rot="5400000">
          <a:off x="5340868" y="2095500"/>
          <a:ext cx="2976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229913</xdr:colOff>
      <xdr:row>11</xdr:row>
      <xdr:rowOff>6569</xdr:rowOff>
    </xdr:from>
    <xdr:to>
      <xdr:col>1</xdr:col>
      <xdr:colOff>387567</xdr:colOff>
      <xdr:row>13</xdr:row>
      <xdr:rowOff>33130</xdr:rowOff>
    </xdr:to>
    <xdr:grpSp>
      <xdr:nvGrpSpPr>
        <xdr:cNvPr id="51" name="Группа 50"/>
        <xdr:cNvGrpSpPr/>
      </xdr:nvGrpSpPr>
      <xdr:grpSpPr>
        <a:xfrm>
          <a:off x="882185" y="2067017"/>
          <a:ext cx="169846" cy="392321"/>
          <a:chOff x="874682" y="2102069"/>
          <a:chExt cx="157656" cy="552587"/>
        </a:xfrm>
      </xdr:grpSpPr>
      <xdr:cxnSp macro="">
        <xdr:nvCxnSpPr>
          <xdr:cNvPr id="41" name="Прямая соединительная линия 40"/>
          <xdr:cNvCxnSpPr/>
        </xdr:nvCxnSpPr>
        <xdr:spPr>
          <a:xfrm>
            <a:off x="874682" y="2102069"/>
            <a:ext cx="157656" cy="6569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Прямая со стрелкой 42"/>
          <xdr:cNvCxnSpPr/>
        </xdr:nvCxnSpPr>
        <xdr:spPr>
          <a:xfrm rot="5400000">
            <a:off x="779433" y="2407526"/>
            <a:ext cx="492672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402909</xdr:colOff>
      <xdr:row>10</xdr:row>
      <xdr:rowOff>42466</xdr:rowOff>
    </xdr:from>
    <xdr:to>
      <xdr:col>5</xdr:col>
      <xdr:colOff>87416</xdr:colOff>
      <xdr:row>13</xdr:row>
      <xdr:rowOff>33130</xdr:rowOff>
    </xdr:to>
    <xdr:grpSp>
      <xdr:nvGrpSpPr>
        <xdr:cNvPr id="44" name="Группа 43"/>
        <xdr:cNvGrpSpPr/>
      </xdr:nvGrpSpPr>
      <xdr:grpSpPr>
        <a:xfrm>
          <a:off x="3063813" y="1910890"/>
          <a:ext cx="559283" cy="548448"/>
          <a:chOff x="3061627" y="1947466"/>
          <a:chExt cx="330550" cy="562164"/>
        </a:xfrm>
      </xdr:grpSpPr>
      <xdr:cxnSp macro="">
        <xdr:nvCxnSpPr>
          <xdr:cNvPr id="49" name="Прямая соединительная линия 48"/>
          <xdr:cNvCxnSpPr/>
        </xdr:nvCxnSpPr>
        <xdr:spPr>
          <a:xfrm rot="5400000">
            <a:off x="3074619" y="2095500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52" name="Группа 51"/>
          <xdr:cNvGrpSpPr/>
        </xdr:nvGrpSpPr>
        <xdr:grpSpPr>
          <a:xfrm>
            <a:off x="3234372" y="2102069"/>
            <a:ext cx="157805" cy="407561"/>
            <a:chOff x="868756" y="2102069"/>
            <a:chExt cx="157807" cy="552587"/>
          </a:xfrm>
        </xdr:grpSpPr>
        <xdr:cxnSp macro="">
          <xdr:nvCxnSpPr>
            <xdr:cNvPr id="53" name="Прямая соединительная линия 52"/>
            <xdr:cNvCxnSpPr/>
          </xdr:nvCxnSpPr>
          <xdr:spPr>
            <a:xfrm>
              <a:off x="868756" y="2102069"/>
              <a:ext cx="157656" cy="6569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Прямая со стрелкой 53"/>
            <xdr:cNvCxnSpPr/>
          </xdr:nvCxnSpPr>
          <xdr:spPr>
            <a:xfrm rot="5400000">
              <a:off x="779433" y="2407526"/>
              <a:ext cx="49267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58" name="Группа 57"/>
          <xdr:cNvGrpSpPr/>
        </xdr:nvGrpSpPr>
        <xdr:grpSpPr>
          <a:xfrm>
            <a:off x="3061627" y="2102069"/>
            <a:ext cx="159206" cy="407561"/>
            <a:chOff x="3056553" y="2102069"/>
            <a:chExt cx="159208" cy="552587"/>
          </a:xfrm>
        </xdr:grpSpPr>
        <xdr:cxnSp macro="">
          <xdr:nvCxnSpPr>
            <xdr:cNvPr id="56" name="Прямая соединительная линия 55"/>
            <xdr:cNvCxnSpPr/>
          </xdr:nvCxnSpPr>
          <xdr:spPr>
            <a:xfrm flipH="1">
              <a:off x="3058105" y="2102069"/>
              <a:ext cx="157656" cy="6569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7" name="Прямая со стрелкой 56"/>
            <xdr:cNvCxnSpPr/>
          </xdr:nvCxnSpPr>
          <xdr:spPr>
            <a:xfrm rot="16200000" flipH="1">
              <a:off x="2811011" y="2407526"/>
              <a:ext cx="49267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87923</xdr:colOff>
      <xdr:row>8</xdr:row>
      <xdr:rowOff>109904</xdr:rowOff>
    </xdr:from>
    <xdr:to>
      <xdr:col>1</xdr:col>
      <xdr:colOff>351692</xdr:colOff>
      <xdr:row>9</xdr:row>
      <xdr:rowOff>139212</xdr:rowOff>
    </xdr:to>
    <xdr:sp macro="" textlink="">
      <xdr:nvSpPr>
        <xdr:cNvPr id="59" name="TextBox 58"/>
        <xdr:cNvSpPr txBox="1"/>
      </xdr:nvSpPr>
      <xdr:spPr>
        <a:xfrm>
          <a:off x="732692" y="1633904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4</xdr:col>
      <xdr:colOff>437386</xdr:colOff>
      <xdr:row>8</xdr:row>
      <xdr:rowOff>109904</xdr:rowOff>
    </xdr:from>
    <xdr:to>
      <xdr:col>5</xdr:col>
      <xdr:colOff>56386</xdr:colOff>
      <xdr:row>9</xdr:row>
      <xdr:rowOff>139212</xdr:rowOff>
    </xdr:to>
    <xdr:sp macro="" textlink="">
      <xdr:nvSpPr>
        <xdr:cNvPr id="60" name="TextBox 59"/>
        <xdr:cNvSpPr txBox="1"/>
      </xdr:nvSpPr>
      <xdr:spPr>
        <a:xfrm>
          <a:off x="3021560" y="1633904"/>
          <a:ext cx="265043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8</xdr:row>
      <xdr:rowOff>109904</xdr:rowOff>
    </xdr:from>
    <xdr:to>
      <xdr:col>8</xdr:col>
      <xdr:colOff>454270</xdr:colOff>
      <xdr:row>9</xdr:row>
      <xdr:rowOff>139212</xdr:rowOff>
    </xdr:to>
    <xdr:sp macro="" textlink="">
      <xdr:nvSpPr>
        <xdr:cNvPr id="61" name="TextBox 60"/>
        <xdr:cNvSpPr txBox="1"/>
      </xdr:nvSpPr>
      <xdr:spPr>
        <a:xfrm>
          <a:off x="5348655" y="1633904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0</xdr:col>
      <xdr:colOff>306457</xdr:colOff>
      <xdr:row>11</xdr:row>
      <xdr:rowOff>0</xdr:rowOff>
    </xdr:from>
    <xdr:to>
      <xdr:col>1</xdr:col>
      <xdr:colOff>207066</xdr:colOff>
      <xdr:row>11</xdr:row>
      <xdr:rowOff>1588</xdr:rowOff>
    </xdr:to>
    <xdr:cxnSp macro="">
      <xdr:nvCxnSpPr>
        <xdr:cNvPr id="35" name="Прямая со стрелкой 34"/>
        <xdr:cNvCxnSpPr/>
      </xdr:nvCxnSpPr>
      <xdr:spPr>
        <a:xfrm>
          <a:off x="306457" y="2095500"/>
          <a:ext cx="546652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604630</xdr:colOff>
      <xdr:row>8</xdr:row>
      <xdr:rowOff>49696</xdr:rowOff>
    </xdr:from>
    <xdr:to>
      <xdr:col>3</xdr:col>
      <xdr:colOff>539612</xdr:colOff>
      <xdr:row>10</xdr:row>
      <xdr:rowOff>40171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96717" y="1573696"/>
          <a:ext cx="581025" cy="3714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488676</xdr:colOff>
      <xdr:row>8</xdr:row>
      <xdr:rowOff>41413</xdr:rowOff>
    </xdr:from>
    <xdr:to>
      <xdr:col>6</xdr:col>
      <xdr:colOff>414132</xdr:colOff>
      <xdr:row>10</xdr:row>
      <xdr:rowOff>31888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18893" y="1565413"/>
          <a:ext cx="571500" cy="3714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629618</xdr:colOff>
      <xdr:row>10</xdr:row>
      <xdr:rowOff>155450</xdr:rowOff>
    </xdr:from>
    <xdr:to>
      <xdr:col>7</xdr:col>
      <xdr:colOff>27022</xdr:colOff>
      <xdr:row>11</xdr:row>
      <xdr:rowOff>10669</xdr:rowOff>
    </xdr:to>
    <xdr:sp macro="" textlink="">
      <xdr:nvSpPr>
        <xdr:cNvPr id="38" name="Овал 37"/>
        <xdr:cNvSpPr/>
      </xdr:nvSpPr>
      <xdr:spPr>
        <a:xfrm>
          <a:off x="4519505" y="2060450"/>
          <a:ext cx="45719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308497</xdr:colOff>
      <xdr:row>10</xdr:row>
      <xdr:rowOff>170812</xdr:rowOff>
    </xdr:from>
    <xdr:to>
      <xdr:col>8</xdr:col>
      <xdr:colOff>354216</xdr:colOff>
      <xdr:row>11</xdr:row>
      <xdr:rowOff>26031</xdr:rowOff>
    </xdr:to>
    <xdr:sp macro="" textlink="">
      <xdr:nvSpPr>
        <xdr:cNvPr id="39" name="Овал 38"/>
        <xdr:cNvSpPr/>
      </xdr:nvSpPr>
      <xdr:spPr>
        <a:xfrm>
          <a:off x="5475229" y="2075812"/>
          <a:ext cx="45719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0</xdr:colOff>
      <xdr:row>13</xdr:row>
      <xdr:rowOff>140806</xdr:rowOff>
    </xdr:from>
    <xdr:to>
      <xdr:col>6</xdr:col>
      <xdr:colOff>200025</xdr:colOff>
      <xdr:row>14</xdr:row>
      <xdr:rowOff>140806</xdr:rowOff>
    </xdr:to>
    <xdr:pic>
      <xdr:nvPicPr>
        <xdr:cNvPr id="5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230217" y="2617306"/>
          <a:ext cx="846069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182217</xdr:colOff>
      <xdr:row>13</xdr:row>
      <xdr:rowOff>124238</xdr:rowOff>
    </xdr:from>
    <xdr:to>
      <xdr:col>1</xdr:col>
      <xdr:colOff>610842</xdr:colOff>
      <xdr:row>14</xdr:row>
      <xdr:rowOff>143288</xdr:rowOff>
    </xdr:to>
    <xdr:pic>
      <xdr:nvPicPr>
        <xdr:cNvPr id="512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260" y="2600738"/>
          <a:ext cx="4286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107674</xdr:colOff>
      <xdr:row>13</xdr:row>
      <xdr:rowOff>124239</xdr:rowOff>
    </xdr:from>
    <xdr:to>
      <xdr:col>4</xdr:col>
      <xdr:colOff>536299</xdr:colOff>
      <xdr:row>14</xdr:row>
      <xdr:rowOff>143289</xdr:rowOff>
    </xdr:to>
    <xdr:pic>
      <xdr:nvPicPr>
        <xdr:cNvPr id="512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691848" y="2600739"/>
          <a:ext cx="4286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505240</xdr:colOff>
      <xdr:row>10</xdr:row>
      <xdr:rowOff>107674</xdr:rowOff>
    </xdr:from>
    <xdr:to>
      <xdr:col>2</xdr:col>
      <xdr:colOff>372717</xdr:colOff>
      <xdr:row>10</xdr:row>
      <xdr:rowOff>109262</xdr:rowOff>
    </xdr:to>
    <xdr:cxnSp macro="">
      <xdr:nvCxnSpPr>
        <xdr:cNvPr id="46" name="Прямая со стрелкой 45"/>
        <xdr:cNvCxnSpPr/>
      </xdr:nvCxnSpPr>
      <xdr:spPr>
        <a:xfrm>
          <a:off x="1151283" y="2012674"/>
          <a:ext cx="513521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571501</xdr:colOff>
      <xdr:row>10</xdr:row>
      <xdr:rowOff>107674</xdr:rowOff>
    </xdr:from>
    <xdr:to>
      <xdr:col>4</xdr:col>
      <xdr:colOff>438978</xdr:colOff>
      <xdr:row>10</xdr:row>
      <xdr:rowOff>109262</xdr:rowOff>
    </xdr:to>
    <xdr:cxnSp macro="">
      <xdr:nvCxnSpPr>
        <xdr:cNvPr id="55" name="Прямая со стрелкой 54"/>
        <xdr:cNvCxnSpPr/>
      </xdr:nvCxnSpPr>
      <xdr:spPr>
        <a:xfrm>
          <a:off x="2509631" y="2012674"/>
          <a:ext cx="513521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10</xdr:row>
      <xdr:rowOff>107674</xdr:rowOff>
    </xdr:from>
    <xdr:to>
      <xdr:col>7</xdr:col>
      <xdr:colOff>248478</xdr:colOff>
      <xdr:row>10</xdr:row>
      <xdr:rowOff>109262</xdr:rowOff>
    </xdr:to>
    <xdr:cxnSp macro="">
      <xdr:nvCxnSpPr>
        <xdr:cNvPr id="64" name="Прямая со стрелкой 63"/>
        <xdr:cNvCxnSpPr/>
      </xdr:nvCxnSpPr>
      <xdr:spPr>
        <a:xfrm>
          <a:off x="4257261" y="2012674"/>
          <a:ext cx="513521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496956</xdr:colOff>
      <xdr:row>10</xdr:row>
      <xdr:rowOff>0</xdr:rowOff>
    </xdr:from>
    <xdr:to>
      <xdr:col>1</xdr:col>
      <xdr:colOff>31888</xdr:colOff>
      <xdr:row>11</xdr:row>
      <xdr:rowOff>19050</xdr:rowOff>
    </xdr:to>
    <xdr:pic>
      <xdr:nvPicPr>
        <xdr:cNvPr id="512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96956" y="1905000"/>
          <a:ext cx="180975" cy="209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9</xdr:row>
      <xdr:rowOff>91108</xdr:rowOff>
    </xdr:from>
    <xdr:to>
      <xdr:col>2</xdr:col>
      <xdr:colOff>203338</xdr:colOff>
      <xdr:row>10</xdr:row>
      <xdr:rowOff>110158</xdr:rowOff>
    </xdr:to>
    <xdr:pic>
      <xdr:nvPicPr>
        <xdr:cNvPr id="512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3500" y="1805608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140803</xdr:colOff>
      <xdr:row>9</xdr:row>
      <xdr:rowOff>91108</xdr:rowOff>
    </xdr:from>
    <xdr:to>
      <xdr:col>4</xdr:col>
      <xdr:colOff>293203</xdr:colOff>
      <xdr:row>10</xdr:row>
      <xdr:rowOff>110158</xdr:rowOff>
    </xdr:to>
    <xdr:pic>
      <xdr:nvPicPr>
        <xdr:cNvPr id="512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724977" y="1805608"/>
          <a:ext cx="152400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571500</xdr:colOff>
      <xdr:row>9</xdr:row>
      <xdr:rowOff>99390</xdr:rowOff>
    </xdr:from>
    <xdr:to>
      <xdr:col>7</xdr:col>
      <xdr:colOff>77857</xdr:colOff>
      <xdr:row>10</xdr:row>
      <xdr:rowOff>118440</xdr:rowOff>
    </xdr:to>
    <xdr:pic>
      <xdr:nvPicPr>
        <xdr:cNvPr id="513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447761" y="1813890"/>
          <a:ext cx="152400" cy="2095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165652</xdr:colOff>
      <xdr:row>9</xdr:row>
      <xdr:rowOff>107674</xdr:rowOff>
    </xdr:from>
    <xdr:to>
      <xdr:col>5</xdr:col>
      <xdr:colOff>327577</xdr:colOff>
      <xdr:row>10</xdr:row>
      <xdr:rowOff>126724</xdr:rowOff>
    </xdr:to>
    <xdr:pic>
      <xdr:nvPicPr>
        <xdr:cNvPr id="513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395869" y="1822174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157369</xdr:colOff>
      <xdr:row>10</xdr:row>
      <xdr:rowOff>74543</xdr:rowOff>
    </xdr:from>
    <xdr:to>
      <xdr:col>9</xdr:col>
      <xdr:colOff>347869</xdr:colOff>
      <xdr:row>11</xdr:row>
      <xdr:rowOff>103118</xdr:rowOff>
    </xdr:to>
    <xdr:pic>
      <xdr:nvPicPr>
        <xdr:cNvPr id="513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971760" y="1979543"/>
          <a:ext cx="19050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17</xdr:row>
      <xdr:rowOff>0</xdr:rowOff>
    </xdr:from>
    <xdr:to>
      <xdr:col>1</xdr:col>
      <xdr:colOff>571500</xdr:colOff>
      <xdr:row>18</xdr:row>
      <xdr:rowOff>28575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3238500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18</xdr:row>
      <xdr:rowOff>180975</xdr:rowOff>
    </xdr:from>
    <xdr:to>
      <xdr:col>2</xdr:col>
      <xdr:colOff>342900</xdr:colOff>
      <xdr:row>20</xdr:row>
      <xdr:rowOff>19050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3609975"/>
          <a:ext cx="9810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27</xdr:row>
      <xdr:rowOff>0</xdr:rowOff>
    </xdr:from>
    <xdr:to>
      <xdr:col>2</xdr:col>
      <xdr:colOff>457200</xdr:colOff>
      <xdr:row>28</xdr:row>
      <xdr:rowOff>28575</xdr:rowOff>
    </xdr:to>
    <xdr:pic>
      <xdr:nvPicPr>
        <xdr:cNvPr id="51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14350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20</xdr:row>
      <xdr:rowOff>95250</xdr:rowOff>
    </xdr:from>
    <xdr:to>
      <xdr:col>2</xdr:col>
      <xdr:colOff>342900</xdr:colOff>
      <xdr:row>22</xdr:row>
      <xdr:rowOff>85725</xdr:rowOff>
    </xdr:to>
    <xdr:pic>
      <xdr:nvPicPr>
        <xdr:cNvPr id="1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390525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22</xdr:row>
      <xdr:rowOff>85725</xdr:rowOff>
    </xdr:from>
    <xdr:to>
      <xdr:col>3</xdr:col>
      <xdr:colOff>571500</xdr:colOff>
      <xdr:row>24</xdr:row>
      <xdr:rowOff>123825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27672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32</xdr:row>
      <xdr:rowOff>114300</xdr:rowOff>
    </xdr:from>
    <xdr:to>
      <xdr:col>2</xdr:col>
      <xdr:colOff>523875</xdr:colOff>
      <xdr:row>34</xdr:row>
      <xdr:rowOff>161925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067300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35</xdr:row>
      <xdr:rowOff>28575</xdr:rowOff>
    </xdr:from>
    <xdr:to>
      <xdr:col>1</xdr:col>
      <xdr:colOff>342900</xdr:colOff>
      <xdr:row>36</xdr:row>
      <xdr:rowOff>47625</xdr:rowOff>
    </xdr:to>
    <xdr:pic>
      <xdr:nvPicPr>
        <xdr:cNvPr id="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53075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36</xdr:row>
      <xdr:rowOff>104775</xdr:rowOff>
    </xdr:from>
    <xdr:to>
      <xdr:col>2</xdr:col>
      <xdr:colOff>114300</xdr:colOff>
      <xdr:row>38</xdr:row>
      <xdr:rowOff>133350</xdr:rowOff>
    </xdr:to>
    <xdr:pic>
      <xdr:nvPicPr>
        <xdr:cNvPr id="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5829300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37</xdr:row>
      <xdr:rowOff>19050</xdr:rowOff>
    </xdr:from>
    <xdr:to>
      <xdr:col>3</xdr:col>
      <xdr:colOff>304800</xdr:colOff>
      <xdr:row>38</xdr:row>
      <xdr:rowOff>38100</xdr:rowOff>
    </xdr:to>
    <xdr:pic>
      <xdr:nvPicPr>
        <xdr:cNvPr id="1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593407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276225</xdr:colOff>
      <xdr:row>40</xdr:row>
      <xdr:rowOff>9525</xdr:rowOff>
    </xdr:to>
    <xdr:pic>
      <xdr:nvPicPr>
        <xdr:cNvPr id="5164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748665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898071</xdr:colOff>
      <xdr:row>10</xdr:row>
      <xdr:rowOff>107674</xdr:rowOff>
    </xdr:from>
    <xdr:to>
      <xdr:col>5</xdr:col>
      <xdr:colOff>509735</xdr:colOff>
      <xdr:row>10</xdr:row>
      <xdr:rowOff>109262</xdr:rowOff>
    </xdr:to>
    <xdr:cxnSp macro="">
      <xdr:nvCxnSpPr>
        <xdr:cNvPr id="69" name="Прямая со стрелкой 68"/>
        <xdr:cNvCxnSpPr/>
      </xdr:nvCxnSpPr>
      <xdr:spPr>
        <a:xfrm>
          <a:off x="3575957" y="2012674"/>
          <a:ext cx="515178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44</xdr:row>
      <xdr:rowOff>104775</xdr:rowOff>
    </xdr:from>
    <xdr:to>
      <xdr:col>2</xdr:col>
      <xdr:colOff>428625</xdr:colOff>
      <xdr:row>46</xdr:row>
      <xdr:rowOff>152400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8562975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52</xdr:row>
      <xdr:rowOff>180975</xdr:rowOff>
    </xdr:from>
    <xdr:to>
      <xdr:col>4</xdr:col>
      <xdr:colOff>476250</xdr:colOff>
      <xdr:row>54</xdr:row>
      <xdr:rowOff>28575</xdr:rowOff>
    </xdr:to>
    <xdr:pic>
      <xdr:nvPicPr>
        <xdr:cNvPr id="2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9875" y="10172700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54</xdr:row>
      <xdr:rowOff>0</xdr:rowOff>
    </xdr:from>
    <xdr:to>
      <xdr:col>4</xdr:col>
      <xdr:colOff>476250</xdr:colOff>
      <xdr:row>55</xdr:row>
      <xdr:rowOff>38100</xdr:rowOff>
    </xdr:to>
    <xdr:pic>
      <xdr:nvPicPr>
        <xdr:cNvPr id="2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10372725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55</xdr:row>
      <xdr:rowOff>0</xdr:rowOff>
    </xdr:from>
    <xdr:to>
      <xdr:col>4</xdr:col>
      <xdr:colOff>476250</xdr:colOff>
      <xdr:row>56</xdr:row>
      <xdr:rowOff>38100</xdr:rowOff>
    </xdr:to>
    <xdr:pic>
      <xdr:nvPicPr>
        <xdr:cNvPr id="2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10563225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55</xdr:row>
      <xdr:rowOff>5576</xdr:rowOff>
    </xdr:from>
    <xdr:to>
      <xdr:col>6</xdr:col>
      <xdr:colOff>95251</xdr:colOff>
      <xdr:row>56</xdr:row>
      <xdr:rowOff>38100</xdr:rowOff>
    </xdr:to>
    <xdr:pic>
      <xdr:nvPicPr>
        <xdr:cNvPr id="2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10568801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3</xdr:col>
      <xdr:colOff>266700</xdr:colOff>
      <xdr:row>58</xdr:row>
      <xdr:rowOff>95250</xdr:rowOff>
    </xdr:from>
    <xdr:to>
      <xdr:col>4</xdr:col>
      <xdr:colOff>476250</xdr:colOff>
      <xdr:row>60</xdr:row>
      <xdr:rowOff>85725</xdr:rowOff>
    </xdr:to>
    <xdr:pic>
      <xdr:nvPicPr>
        <xdr:cNvPr id="2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09800" y="11229975"/>
          <a:ext cx="942975" cy="3714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295275</xdr:colOff>
      <xdr:row>56</xdr:row>
      <xdr:rowOff>104775</xdr:rowOff>
    </xdr:from>
    <xdr:to>
      <xdr:col>4</xdr:col>
      <xdr:colOff>476250</xdr:colOff>
      <xdr:row>58</xdr:row>
      <xdr:rowOff>95250</xdr:rowOff>
    </xdr:to>
    <xdr:pic>
      <xdr:nvPicPr>
        <xdr:cNvPr id="2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38375" y="10858500"/>
          <a:ext cx="914400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533400</xdr:colOff>
      <xdr:row>61</xdr:row>
      <xdr:rowOff>9525</xdr:rowOff>
    </xdr:from>
    <xdr:to>
      <xdr:col>4</xdr:col>
      <xdr:colOff>466725</xdr:colOff>
      <xdr:row>62</xdr:row>
      <xdr:rowOff>38100</xdr:rowOff>
    </xdr:to>
    <xdr:pic>
      <xdr:nvPicPr>
        <xdr:cNvPr id="2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11715750"/>
          <a:ext cx="1314450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66</xdr:row>
      <xdr:rowOff>19050</xdr:rowOff>
    </xdr:from>
    <xdr:to>
      <xdr:col>2</xdr:col>
      <xdr:colOff>638175</xdr:colOff>
      <xdr:row>67</xdr:row>
      <xdr:rowOff>66675</xdr:rowOff>
    </xdr:to>
    <xdr:pic>
      <xdr:nvPicPr>
        <xdr:cNvPr id="513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12677775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2</xdr:col>
      <xdr:colOff>638175</xdr:colOff>
      <xdr:row>71</xdr:row>
      <xdr:rowOff>28575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13420725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2</xdr:col>
      <xdr:colOff>428625</xdr:colOff>
      <xdr:row>73</xdr:row>
      <xdr:rowOff>28575</xdr:rowOff>
    </xdr:to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13801725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73</xdr:row>
      <xdr:rowOff>85725</xdr:rowOff>
    </xdr:from>
    <xdr:to>
      <xdr:col>3</xdr:col>
      <xdr:colOff>723900</xdr:colOff>
      <xdr:row>75</xdr:row>
      <xdr:rowOff>133350</xdr:rowOff>
    </xdr:to>
    <xdr:pic>
      <xdr:nvPicPr>
        <xdr:cNvPr id="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14077950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219075</xdr:colOff>
      <xdr:row>82</xdr:row>
      <xdr:rowOff>0</xdr:rowOff>
    </xdr:from>
    <xdr:to>
      <xdr:col>3</xdr:col>
      <xdr:colOff>9525</xdr:colOff>
      <xdr:row>82</xdr:row>
      <xdr:rowOff>1588</xdr:rowOff>
    </xdr:to>
    <xdr:cxnSp macro="">
      <xdr:nvCxnSpPr>
        <xdr:cNvPr id="68" name="Прямая соединительная линия 67"/>
        <xdr:cNvCxnSpPr/>
      </xdr:nvCxnSpPr>
      <xdr:spPr>
        <a:xfrm>
          <a:off x="866775" y="2143125"/>
          <a:ext cx="10858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81</xdr:row>
      <xdr:rowOff>95250</xdr:rowOff>
    </xdr:from>
    <xdr:to>
      <xdr:col>3</xdr:col>
      <xdr:colOff>466725</xdr:colOff>
      <xdr:row>82</xdr:row>
      <xdr:rowOff>76200</xdr:rowOff>
    </xdr:to>
    <xdr:sp macro="" textlink="">
      <xdr:nvSpPr>
        <xdr:cNvPr id="70" name="Прямоугольник 69"/>
        <xdr:cNvSpPr/>
      </xdr:nvSpPr>
      <xdr:spPr>
        <a:xfrm>
          <a:off x="1962150" y="2047875"/>
          <a:ext cx="447675" cy="1714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</xdr:col>
      <xdr:colOff>466725</xdr:colOff>
      <xdr:row>81</xdr:row>
      <xdr:rowOff>180975</xdr:rowOff>
    </xdr:from>
    <xdr:to>
      <xdr:col>5</xdr:col>
      <xdr:colOff>538781</xdr:colOff>
      <xdr:row>81</xdr:row>
      <xdr:rowOff>182563</xdr:rowOff>
    </xdr:to>
    <xdr:cxnSp macro="">
      <xdr:nvCxnSpPr>
        <xdr:cNvPr id="71" name="Прямая соединительная линия 70"/>
        <xdr:cNvCxnSpPr>
          <a:stCxn id="70" idx="3"/>
          <a:endCxn id="72" idx="1"/>
        </xdr:cNvCxnSpPr>
      </xdr:nvCxnSpPr>
      <xdr:spPr>
        <a:xfrm>
          <a:off x="2409825" y="2133600"/>
          <a:ext cx="17103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538781</xdr:colOff>
      <xdr:row>81</xdr:row>
      <xdr:rowOff>95250</xdr:rowOff>
    </xdr:from>
    <xdr:to>
      <xdr:col>6</xdr:col>
      <xdr:colOff>338756</xdr:colOff>
      <xdr:row>82</xdr:row>
      <xdr:rowOff>76200</xdr:rowOff>
    </xdr:to>
    <xdr:sp macro="" textlink="">
      <xdr:nvSpPr>
        <xdr:cNvPr id="72" name="Прямоугольник 71"/>
        <xdr:cNvSpPr/>
      </xdr:nvSpPr>
      <xdr:spPr>
        <a:xfrm>
          <a:off x="4120181" y="2047875"/>
          <a:ext cx="542925" cy="1714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6</xdr:col>
      <xdr:colOff>338756</xdr:colOff>
      <xdr:row>81</xdr:row>
      <xdr:rowOff>177447</xdr:rowOff>
    </xdr:from>
    <xdr:to>
      <xdr:col>7</xdr:col>
      <xdr:colOff>252618</xdr:colOff>
      <xdr:row>81</xdr:row>
      <xdr:rowOff>180975</xdr:rowOff>
    </xdr:to>
    <xdr:cxnSp macro="">
      <xdr:nvCxnSpPr>
        <xdr:cNvPr id="73" name="Прямая соединительная линия 72"/>
        <xdr:cNvCxnSpPr>
          <a:stCxn id="72" idx="3"/>
          <a:endCxn id="74" idx="2"/>
        </xdr:cNvCxnSpPr>
      </xdr:nvCxnSpPr>
      <xdr:spPr>
        <a:xfrm flipV="1">
          <a:off x="4663106" y="2130072"/>
          <a:ext cx="561562" cy="35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252618</xdr:colOff>
      <xdr:row>81</xdr:row>
      <xdr:rowOff>2469</xdr:rowOff>
    </xdr:from>
    <xdr:to>
      <xdr:col>7</xdr:col>
      <xdr:colOff>571499</xdr:colOff>
      <xdr:row>82</xdr:row>
      <xdr:rowOff>161925</xdr:rowOff>
    </xdr:to>
    <xdr:sp macro="" textlink="">
      <xdr:nvSpPr>
        <xdr:cNvPr id="74" name="Овал 73"/>
        <xdr:cNvSpPr/>
      </xdr:nvSpPr>
      <xdr:spPr>
        <a:xfrm>
          <a:off x="5224668" y="1955094"/>
          <a:ext cx="318881" cy="349956"/>
        </a:xfrm>
        <a:prstGeom prst="ellipse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475008</xdr:colOff>
      <xdr:row>81</xdr:row>
      <xdr:rowOff>2469</xdr:rowOff>
    </xdr:from>
    <xdr:to>
      <xdr:col>8</xdr:col>
      <xdr:colOff>149087</xdr:colOff>
      <xdr:row>82</xdr:row>
      <xdr:rowOff>161925</xdr:rowOff>
    </xdr:to>
    <xdr:sp macro="" textlink="">
      <xdr:nvSpPr>
        <xdr:cNvPr id="75" name="Овал 74"/>
        <xdr:cNvSpPr/>
      </xdr:nvSpPr>
      <xdr:spPr>
        <a:xfrm>
          <a:off x="5447058" y="1955094"/>
          <a:ext cx="321779" cy="349956"/>
        </a:xfrm>
        <a:prstGeom prst="ellipse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148826</xdr:colOff>
      <xdr:row>82</xdr:row>
      <xdr:rowOff>0</xdr:rowOff>
    </xdr:from>
    <xdr:to>
      <xdr:col>9</xdr:col>
      <xdr:colOff>98820</xdr:colOff>
      <xdr:row>82</xdr:row>
      <xdr:rowOff>5799</xdr:rowOff>
    </xdr:to>
    <xdr:cxnSp macro="">
      <xdr:nvCxnSpPr>
        <xdr:cNvPr id="76" name="Прямая со стрелкой 75"/>
        <xdr:cNvCxnSpPr/>
      </xdr:nvCxnSpPr>
      <xdr:spPr>
        <a:xfrm>
          <a:off x="5768576" y="2143125"/>
          <a:ext cx="597694" cy="5799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213518</xdr:colOff>
      <xdr:row>81</xdr:row>
      <xdr:rowOff>42466</xdr:rowOff>
    </xdr:from>
    <xdr:to>
      <xdr:col>1</xdr:col>
      <xdr:colOff>215106</xdr:colOff>
      <xdr:row>82</xdr:row>
      <xdr:rowOff>149622</xdr:rowOff>
    </xdr:to>
    <xdr:cxnSp macro="">
      <xdr:nvCxnSpPr>
        <xdr:cNvPr id="77" name="Прямая соединительная линия 76"/>
        <xdr:cNvCxnSpPr/>
      </xdr:nvCxnSpPr>
      <xdr:spPr>
        <a:xfrm rot="5400000">
          <a:off x="713184" y="2143125"/>
          <a:ext cx="2976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330748</xdr:colOff>
      <xdr:row>81</xdr:row>
      <xdr:rowOff>42466</xdr:rowOff>
    </xdr:from>
    <xdr:to>
      <xdr:col>8</xdr:col>
      <xdr:colOff>332336</xdr:colOff>
      <xdr:row>82</xdr:row>
      <xdr:rowOff>149622</xdr:rowOff>
    </xdr:to>
    <xdr:cxnSp macro="">
      <xdr:nvCxnSpPr>
        <xdr:cNvPr id="78" name="Прямая соединительная линия 77"/>
        <xdr:cNvCxnSpPr/>
      </xdr:nvCxnSpPr>
      <xdr:spPr>
        <a:xfrm rot="5400000">
          <a:off x="5802464" y="2143125"/>
          <a:ext cx="2976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229913</xdr:colOff>
      <xdr:row>82</xdr:row>
      <xdr:rowOff>6569</xdr:rowOff>
    </xdr:from>
    <xdr:to>
      <xdr:col>1</xdr:col>
      <xdr:colOff>387567</xdr:colOff>
      <xdr:row>84</xdr:row>
      <xdr:rowOff>33130</xdr:rowOff>
    </xdr:to>
    <xdr:grpSp>
      <xdr:nvGrpSpPr>
        <xdr:cNvPr id="79" name="Группа 78"/>
        <xdr:cNvGrpSpPr/>
      </xdr:nvGrpSpPr>
      <xdr:grpSpPr>
        <a:xfrm>
          <a:off x="882185" y="15179513"/>
          <a:ext cx="169846" cy="392321"/>
          <a:chOff x="874682" y="2102069"/>
          <a:chExt cx="157656" cy="552587"/>
        </a:xfrm>
      </xdr:grpSpPr>
      <xdr:cxnSp macro="">
        <xdr:nvCxnSpPr>
          <xdr:cNvPr id="80" name="Прямая соединительная линия 79"/>
          <xdr:cNvCxnSpPr/>
        </xdr:nvCxnSpPr>
        <xdr:spPr>
          <a:xfrm>
            <a:off x="874682" y="2102069"/>
            <a:ext cx="157656" cy="6569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Прямая со стрелкой 80"/>
          <xdr:cNvCxnSpPr/>
        </xdr:nvCxnSpPr>
        <xdr:spPr>
          <a:xfrm rot="5400000">
            <a:off x="779433" y="2407526"/>
            <a:ext cx="492672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402909</xdr:colOff>
      <xdr:row>81</xdr:row>
      <xdr:rowOff>42466</xdr:rowOff>
    </xdr:from>
    <xdr:to>
      <xdr:col>5</xdr:col>
      <xdr:colOff>87416</xdr:colOff>
      <xdr:row>84</xdr:row>
      <xdr:rowOff>33130</xdr:rowOff>
    </xdr:to>
    <xdr:grpSp>
      <xdr:nvGrpSpPr>
        <xdr:cNvPr id="82" name="Группа 81"/>
        <xdr:cNvGrpSpPr/>
      </xdr:nvGrpSpPr>
      <xdr:grpSpPr>
        <a:xfrm>
          <a:off x="3063813" y="15023386"/>
          <a:ext cx="559283" cy="548448"/>
          <a:chOff x="3061627" y="1947466"/>
          <a:chExt cx="330550" cy="562164"/>
        </a:xfrm>
      </xdr:grpSpPr>
      <xdr:cxnSp macro="">
        <xdr:nvCxnSpPr>
          <xdr:cNvPr id="83" name="Прямая соединительная линия 82"/>
          <xdr:cNvCxnSpPr/>
        </xdr:nvCxnSpPr>
        <xdr:spPr>
          <a:xfrm rot="5400000">
            <a:off x="3074619" y="2095500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Группа 51"/>
          <xdr:cNvGrpSpPr/>
        </xdr:nvGrpSpPr>
        <xdr:grpSpPr>
          <a:xfrm>
            <a:off x="3234372" y="2102076"/>
            <a:ext cx="157805" cy="407563"/>
            <a:chOff x="868756" y="2102069"/>
            <a:chExt cx="157807" cy="552587"/>
          </a:xfrm>
        </xdr:grpSpPr>
        <xdr:cxnSp macro="">
          <xdr:nvCxnSpPr>
            <xdr:cNvPr id="88" name="Прямая соединительная линия 87"/>
            <xdr:cNvCxnSpPr/>
          </xdr:nvCxnSpPr>
          <xdr:spPr>
            <a:xfrm>
              <a:off x="868756" y="2102069"/>
              <a:ext cx="157656" cy="6569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Прямая со стрелкой 88"/>
            <xdr:cNvCxnSpPr/>
          </xdr:nvCxnSpPr>
          <xdr:spPr>
            <a:xfrm rot="5400000">
              <a:off x="779433" y="2407526"/>
              <a:ext cx="49267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85" name="Группа 57"/>
          <xdr:cNvGrpSpPr/>
        </xdr:nvGrpSpPr>
        <xdr:grpSpPr>
          <a:xfrm>
            <a:off x="3061627" y="2102076"/>
            <a:ext cx="159206" cy="407563"/>
            <a:chOff x="3056553" y="2102069"/>
            <a:chExt cx="159208" cy="552587"/>
          </a:xfrm>
        </xdr:grpSpPr>
        <xdr:cxnSp macro="">
          <xdr:nvCxnSpPr>
            <xdr:cNvPr id="86" name="Прямая соединительная линия 85"/>
            <xdr:cNvCxnSpPr/>
          </xdr:nvCxnSpPr>
          <xdr:spPr>
            <a:xfrm flipH="1">
              <a:off x="3058105" y="2102069"/>
              <a:ext cx="157656" cy="6569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Прямая со стрелкой 86"/>
            <xdr:cNvCxnSpPr/>
          </xdr:nvCxnSpPr>
          <xdr:spPr>
            <a:xfrm rot="16200000" flipH="1">
              <a:off x="2811011" y="2407526"/>
              <a:ext cx="49267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87923</xdr:colOff>
      <xdr:row>79</xdr:row>
      <xdr:rowOff>109904</xdr:rowOff>
    </xdr:from>
    <xdr:to>
      <xdr:col>1</xdr:col>
      <xdr:colOff>351692</xdr:colOff>
      <xdr:row>80</xdr:row>
      <xdr:rowOff>139212</xdr:rowOff>
    </xdr:to>
    <xdr:sp macro="" textlink="">
      <xdr:nvSpPr>
        <xdr:cNvPr id="90" name="TextBox 89"/>
        <xdr:cNvSpPr txBox="1"/>
      </xdr:nvSpPr>
      <xdr:spPr>
        <a:xfrm>
          <a:off x="735623" y="168152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4</xdr:col>
      <xdr:colOff>437386</xdr:colOff>
      <xdr:row>79</xdr:row>
      <xdr:rowOff>109904</xdr:rowOff>
    </xdr:from>
    <xdr:to>
      <xdr:col>5</xdr:col>
      <xdr:colOff>56386</xdr:colOff>
      <xdr:row>80</xdr:row>
      <xdr:rowOff>139212</xdr:rowOff>
    </xdr:to>
    <xdr:sp macro="" textlink="">
      <xdr:nvSpPr>
        <xdr:cNvPr id="91" name="TextBox 90"/>
        <xdr:cNvSpPr txBox="1"/>
      </xdr:nvSpPr>
      <xdr:spPr>
        <a:xfrm>
          <a:off x="3113911" y="1681529"/>
          <a:ext cx="523875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79</xdr:row>
      <xdr:rowOff>109904</xdr:rowOff>
    </xdr:from>
    <xdr:to>
      <xdr:col>8</xdr:col>
      <xdr:colOff>454270</xdr:colOff>
      <xdr:row>80</xdr:row>
      <xdr:rowOff>139212</xdr:rowOff>
    </xdr:to>
    <xdr:sp macro="" textlink="">
      <xdr:nvSpPr>
        <xdr:cNvPr id="92" name="TextBox 91"/>
        <xdr:cNvSpPr txBox="1"/>
      </xdr:nvSpPr>
      <xdr:spPr>
        <a:xfrm>
          <a:off x="5810251" y="168152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0</xdr:col>
      <xdr:colOff>306457</xdr:colOff>
      <xdr:row>82</xdr:row>
      <xdr:rowOff>0</xdr:rowOff>
    </xdr:from>
    <xdr:to>
      <xdr:col>1</xdr:col>
      <xdr:colOff>207066</xdr:colOff>
      <xdr:row>82</xdr:row>
      <xdr:rowOff>1588</xdr:rowOff>
    </xdr:to>
    <xdr:cxnSp macro="">
      <xdr:nvCxnSpPr>
        <xdr:cNvPr id="93" name="Прямая со стрелкой 92"/>
        <xdr:cNvCxnSpPr/>
      </xdr:nvCxnSpPr>
      <xdr:spPr>
        <a:xfrm>
          <a:off x="306457" y="2143125"/>
          <a:ext cx="548309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604630</xdr:colOff>
      <xdr:row>79</xdr:row>
      <xdr:rowOff>49696</xdr:rowOff>
    </xdr:from>
    <xdr:to>
      <xdr:col>3</xdr:col>
      <xdr:colOff>539612</xdr:colOff>
      <xdr:row>81</xdr:row>
      <xdr:rowOff>40171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00030" y="1621321"/>
          <a:ext cx="582682" cy="3714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488676</xdr:colOff>
      <xdr:row>79</xdr:row>
      <xdr:rowOff>41413</xdr:rowOff>
    </xdr:from>
    <xdr:to>
      <xdr:col>6</xdr:col>
      <xdr:colOff>414132</xdr:colOff>
      <xdr:row>81</xdr:row>
      <xdr:rowOff>31888</xdr:rowOff>
    </xdr:to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70076" y="1613038"/>
          <a:ext cx="668406" cy="3714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629618</xdr:colOff>
      <xdr:row>81</xdr:row>
      <xdr:rowOff>155450</xdr:rowOff>
    </xdr:from>
    <xdr:to>
      <xdr:col>7</xdr:col>
      <xdr:colOff>27022</xdr:colOff>
      <xdr:row>82</xdr:row>
      <xdr:rowOff>10669</xdr:rowOff>
    </xdr:to>
    <xdr:sp macro="" textlink="">
      <xdr:nvSpPr>
        <xdr:cNvPr id="96" name="Овал 95"/>
        <xdr:cNvSpPr/>
      </xdr:nvSpPr>
      <xdr:spPr>
        <a:xfrm>
          <a:off x="4953968" y="2108075"/>
          <a:ext cx="45104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308497</xdr:colOff>
      <xdr:row>81</xdr:row>
      <xdr:rowOff>170812</xdr:rowOff>
    </xdr:from>
    <xdr:to>
      <xdr:col>8</xdr:col>
      <xdr:colOff>354216</xdr:colOff>
      <xdr:row>82</xdr:row>
      <xdr:rowOff>26031</xdr:rowOff>
    </xdr:to>
    <xdr:sp macro="" textlink="">
      <xdr:nvSpPr>
        <xdr:cNvPr id="97" name="Овал 96"/>
        <xdr:cNvSpPr/>
      </xdr:nvSpPr>
      <xdr:spPr>
        <a:xfrm>
          <a:off x="5928247" y="2123437"/>
          <a:ext cx="45719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0</xdr:colOff>
      <xdr:row>84</xdr:row>
      <xdr:rowOff>140806</xdr:rowOff>
    </xdr:from>
    <xdr:to>
      <xdr:col>6</xdr:col>
      <xdr:colOff>200025</xdr:colOff>
      <xdr:row>85</xdr:row>
      <xdr:rowOff>140806</xdr:rowOff>
    </xdr:to>
    <xdr:pic>
      <xdr:nvPicPr>
        <xdr:cNvPr id="9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581400" y="2664931"/>
          <a:ext cx="942975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182217</xdr:colOff>
      <xdr:row>84</xdr:row>
      <xdr:rowOff>124238</xdr:rowOff>
    </xdr:from>
    <xdr:to>
      <xdr:col>1</xdr:col>
      <xdr:colOff>610842</xdr:colOff>
      <xdr:row>85</xdr:row>
      <xdr:rowOff>143288</xdr:rowOff>
    </xdr:to>
    <xdr:pic>
      <xdr:nvPicPr>
        <xdr:cNvPr id="9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9917" y="2648363"/>
          <a:ext cx="4286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107674</xdr:colOff>
      <xdr:row>84</xdr:row>
      <xdr:rowOff>124239</xdr:rowOff>
    </xdr:from>
    <xdr:to>
      <xdr:col>4</xdr:col>
      <xdr:colOff>536299</xdr:colOff>
      <xdr:row>85</xdr:row>
      <xdr:rowOff>143289</xdr:rowOff>
    </xdr:to>
    <xdr:pic>
      <xdr:nvPicPr>
        <xdr:cNvPr id="10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784199" y="2648364"/>
          <a:ext cx="4286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505240</xdr:colOff>
      <xdr:row>81</xdr:row>
      <xdr:rowOff>107674</xdr:rowOff>
    </xdr:from>
    <xdr:to>
      <xdr:col>2</xdr:col>
      <xdr:colOff>372717</xdr:colOff>
      <xdr:row>81</xdr:row>
      <xdr:rowOff>109262</xdr:rowOff>
    </xdr:to>
    <xdr:cxnSp macro="">
      <xdr:nvCxnSpPr>
        <xdr:cNvPr id="101" name="Прямая со стрелкой 100"/>
        <xdr:cNvCxnSpPr/>
      </xdr:nvCxnSpPr>
      <xdr:spPr>
        <a:xfrm>
          <a:off x="1152940" y="2060299"/>
          <a:ext cx="515177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571501</xdr:colOff>
      <xdr:row>81</xdr:row>
      <xdr:rowOff>107674</xdr:rowOff>
    </xdr:from>
    <xdr:to>
      <xdr:col>4</xdr:col>
      <xdr:colOff>438978</xdr:colOff>
      <xdr:row>81</xdr:row>
      <xdr:rowOff>109262</xdr:rowOff>
    </xdr:to>
    <xdr:cxnSp macro="">
      <xdr:nvCxnSpPr>
        <xdr:cNvPr id="102" name="Прямая со стрелкой 101"/>
        <xdr:cNvCxnSpPr/>
      </xdr:nvCxnSpPr>
      <xdr:spPr>
        <a:xfrm>
          <a:off x="2514601" y="2060299"/>
          <a:ext cx="600902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81</xdr:row>
      <xdr:rowOff>107674</xdr:rowOff>
    </xdr:from>
    <xdr:to>
      <xdr:col>7</xdr:col>
      <xdr:colOff>248478</xdr:colOff>
      <xdr:row>81</xdr:row>
      <xdr:rowOff>109262</xdr:rowOff>
    </xdr:to>
    <xdr:cxnSp macro="">
      <xdr:nvCxnSpPr>
        <xdr:cNvPr id="103" name="Прямая со стрелкой 102"/>
        <xdr:cNvCxnSpPr/>
      </xdr:nvCxnSpPr>
      <xdr:spPr>
        <a:xfrm>
          <a:off x="4705350" y="2060299"/>
          <a:ext cx="515178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496956</xdr:colOff>
      <xdr:row>81</xdr:row>
      <xdr:rowOff>0</xdr:rowOff>
    </xdr:from>
    <xdr:to>
      <xdr:col>1</xdr:col>
      <xdr:colOff>31888</xdr:colOff>
      <xdr:row>82</xdr:row>
      <xdr:rowOff>19050</xdr:rowOff>
    </xdr:to>
    <xdr:pic>
      <xdr:nvPicPr>
        <xdr:cNvPr id="10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96956" y="1952625"/>
          <a:ext cx="182632" cy="209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80</xdr:row>
      <xdr:rowOff>91108</xdr:rowOff>
    </xdr:from>
    <xdr:to>
      <xdr:col>2</xdr:col>
      <xdr:colOff>203338</xdr:colOff>
      <xdr:row>81</xdr:row>
      <xdr:rowOff>110158</xdr:rowOff>
    </xdr:to>
    <xdr:pic>
      <xdr:nvPicPr>
        <xdr:cNvPr id="10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6813" y="1853233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140803</xdr:colOff>
      <xdr:row>80</xdr:row>
      <xdr:rowOff>91108</xdr:rowOff>
    </xdr:from>
    <xdr:to>
      <xdr:col>4</xdr:col>
      <xdr:colOff>293203</xdr:colOff>
      <xdr:row>81</xdr:row>
      <xdr:rowOff>110158</xdr:rowOff>
    </xdr:to>
    <xdr:pic>
      <xdr:nvPicPr>
        <xdr:cNvPr id="10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17328" y="1853233"/>
          <a:ext cx="152400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571500</xdr:colOff>
      <xdr:row>80</xdr:row>
      <xdr:rowOff>99390</xdr:rowOff>
    </xdr:from>
    <xdr:to>
      <xdr:col>7</xdr:col>
      <xdr:colOff>77857</xdr:colOff>
      <xdr:row>81</xdr:row>
      <xdr:rowOff>118440</xdr:rowOff>
    </xdr:to>
    <xdr:pic>
      <xdr:nvPicPr>
        <xdr:cNvPr id="10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895850" y="1861515"/>
          <a:ext cx="154057" cy="2095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165652</xdr:colOff>
      <xdr:row>80</xdr:row>
      <xdr:rowOff>107674</xdr:rowOff>
    </xdr:from>
    <xdr:to>
      <xdr:col>5</xdr:col>
      <xdr:colOff>327577</xdr:colOff>
      <xdr:row>81</xdr:row>
      <xdr:rowOff>126724</xdr:rowOff>
    </xdr:to>
    <xdr:pic>
      <xdr:nvPicPr>
        <xdr:cNvPr id="10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47052" y="1869799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157369</xdr:colOff>
      <xdr:row>81</xdr:row>
      <xdr:rowOff>74543</xdr:rowOff>
    </xdr:from>
    <xdr:to>
      <xdr:col>9</xdr:col>
      <xdr:colOff>347869</xdr:colOff>
      <xdr:row>82</xdr:row>
      <xdr:rowOff>103118</xdr:rowOff>
    </xdr:to>
    <xdr:pic>
      <xdr:nvPicPr>
        <xdr:cNvPr id="10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24819" y="2027168"/>
          <a:ext cx="19050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88</xdr:row>
      <xdr:rowOff>0</xdr:rowOff>
    </xdr:from>
    <xdr:to>
      <xdr:col>1</xdr:col>
      <xdr:colOff>571500</xdr:colOff>
      <xdr:row>89</xdr:row>
      <xdr:rowOff>28575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3286125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89</xdr:row>
      <xdr:rowOff>180975</xdr:rowOff>
    </xdr:from>
    <xdr:to>
      <xdr:col>2</xdr:col>
      <xdr:colOff>342900</xdr:colOff>
      <xdr:row>91</xdr:row>
      <xdr:rowOff>19050</xdr:rowOff>
    </xdr:to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3657600"/>
          <a:ext cx="9810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98</xdr:row>
      <xdr:rowOff>0</xdr:rowOff>
    </xdr:from>
    <xdr:to>
      <xdr:col>2</xdr:col>
      <xdr:colOff>457200</xdr:colOff>
      <xdr:row>99</xdr:row>
      <xdr:rowOff>28575</xdr:rowOff>
    </xdr:to>
    <xdr:pic>
      <xdr:nvPicPr>
        <xdr:cNvPr id="11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191125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91</xdr:row>
      <xdr:rowOff>95250</xdr:rowOff>
    </xdr:from>
    <xdr:to>
      <xdr:col>2</xdr:col>
      <xdr:colOff>342900</xdr:colOff>
      <xdr:row>93</xdr:row>
      <xdr:rowOff>85725</xdr:rowOff>
    </xdr:to>
    <xdr:pic>
      <xdr:nvPicPr>
        <xdr:cNvPr id="11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3952875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93</xdr:row>
      <xdr:rowOff>85725</xdr:rowOff>
    </xdr:from>
    <xdr:to>
      <xdr:col>3</xdr:col>
      <xdr:colOff>571500</xdr:colOff>
      <xdr:row>95</xdr:row>
      <xdr:rowOff>123825</xdr:rowOff>
    </xdr:to>
    <xdr:pic>
      <xdr:nvPicPr>
        <xdr:cNvPr id="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324350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103</xdr:row>
      <xdr:rowOff>114300</xdr:rowOff>
    </xdr:from>
    <xdr:to>
      <xdr:col>2</xdr:col>
      <xdr:colOff>523875</xdr:colOff>
      <xdr:row>105</xdr:row>
      <xdr:rowOff>161925</xdr:rowOff>
    </xdr:to>
    <xdr:pic>
      <xdr:nvPicPr>
        <xdr:cNvPr id="11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6305550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106</xdr:row>
      <xdr:rowOff>28575</xdr:rowOff>
    </xdr:from>
    <xdr:to>
      <xdr:col>1</xdr:col>
      <xdr:colOff>342900</xdr:colOff>
      <xdr:row>107</xdr:row>
      <xdr:rowOff>47625</xdr:rowOff>
    </xdr:to>
    <xdr:pic>
      <xdr:nvPicPr>
        <xdr:cNvPr id="1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6791325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107</xdr:row>
      <xdr:rowOff>104775</xdr:rowOff>
    </xdr:from>
    <xdr:to>
      <xdr:col>2</xdr:col>
      <xdr:colOff>114300</xdr:colOff>
      <xdr:row>109</xdr:row>
      <xdr:rowOff>133350</xdr:rowOff>
    </xdr:to>
    <xdr:pic>
      <xdr:nvPicPr>
        <xdr:cNvPr id="1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7067550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108</xdr:row>
      <xdr:rowOff>19050</xdr:rowOff>
    </xdr:from>
    <xdr:to>
      <xdr:col>3</xdr:col>
      <xdr:colOff>304800</xdr:colOff>
      <xdr:row>109</xdr:row>
      <xdr:rowOff>38100</xdr:rowOff>
    </xdr:to>
    <xdr:pic>
      <xdr:nvPicPr>
        <xdr:cNvPr id="11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717232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276225</xdr:colOff>
      <xdr:row>111</xdr:row>
      <xdr:rowOff>9525</xdr:rowOff>
    </xdr:to>
    <xdr:pic>
      <xdr:nvPicPr>
        <xdr:cNvPr id="119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753427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898071</xdr:colOff>
      <xdr:row>81</xdr:row>
      <xdr:rowOff>107674</xdr:rowOff>
    </xdr:from>
    <xdr:to>
      <xdr:col>5</xdr:col>
      <xdr:colOff>509735</xdr:colOff>
      <xdr:row>81</xdr:row>
      <xdr:rowOff>109262</xdr:rowOff>
    </xdr:to>
    <xdr:cxnSp macro="">
      <xdr:nvCxnSpPr>
        <xdr:cNvPr id="120" name="Прямая со стрелкой 119"/>
        <xdr:cNvCxnSpPr/>
      </xdr:nvCxnSpPr>
      <xdr:spPr>
        <a:xfrm>
          <a:off x="3574596" y="2060299"/>
          <a:ext cx="516539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115</xdr:row>
      <xdr:rowOff>104775</xdr:rowOff>
    </xdr:from>
    <xdr:to>
      <xdr:col>2</xdr:col>
      <xdr:colOff>428625</xdr:colOff>
      <xdr:row>117</xdr:row>
      <xdr:rowOff>152400</xdr:rowOff>
    </xdr:to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8610600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123</xdr:row>
      <xdr:rowOff>180975</xdr:rowOff>
    </xdr:from>
    <xdr:to>
      <xdr:col>4</xdr:col>
      <xdr:colOff>476250</xdr:colOff>
      <xdr:row>125</xdr:row>
      <xdr:rowOff>28575</xdr:rowOff>
    </xdr:to>
    <xdr:pic>
      <xdr:nvPicPr>
        <xdr:cNvPr id="12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9875" y="10220325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125</xdr:row>
      <xdr:rowOff>0</xdr:rowOff>
    </xdr:from>
    <xdr:to>
      <xdr:col>4</xdr:col>
      <xdr:colOff>476250</xdr:colOff>
      <xdr:row>126</xdr:row>
      <xdr:rowOff>38100</xdr:rowOff>
    </xdr:to>
    <xdr:pic>
      <xdr:nvPicPr>
        <xdr:cNvPr id="12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10420350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126</xdr:row>
      <xdr:rowOff>0</xdr:rowOff>
    </xdr:from>
    <xdr:to>
      <xdr:col>4</xdr:col>
      <xdr:colOff>476250</xdr:colOff>
      <xdr:row>127</xdr:row>
      <xdr:rowOff>38100</xdr:rowOff>
    </xdr:to>
    <xdr:pic>
      <xdr:nvPicPr>
        <xdr:cNvPr id="12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10610850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126</xdr:row>
      <xdr:rowOff>5576</xdr:rowOff>
    </xdr:from>
    <xdr:to>
      <xdr:col>6</xdr:col>
      <xdr:colOff>95251</xdr:colOff>
      <xdr:row>127</xdr:row>
      <xdr:rowOff>38100</xdr:rowOff>
    </xdr:to>
    <xdr:pic>
      <xdr:nvPicPr>
        <xdr:cNvPr id="12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10616426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3</xdr:col>
      <xdr:colOff>266700</xdr:colOff>
      <xdr:row>129</xdr:row>
      <xdr:rowOff>95250</xdr:rowOff>
    </xdr:from>
    <xdr:to>
      <xdr:col>4</xdr:col>
      <xdr:colOff>476250</xdr:colOff>
      <xdr:row>131</xdr:row>
      <xdr:rowOff>85725</xdr:rowOff>
    </xdr:to>
    <xdr:pic>
      <xdr:nvPicPr>
        <xdr:cNvPr id="12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09800" y="11277600"/>
          <a:ext cx="942975" cy="3714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295275</xdr:colOff>
      <xdr:row>127</xdr:row>
      <xdr:rowOff>104775</xdr:rowOff>
    </xdr:from>
    <xdr:to>
      <xdr:col>4</xdr:col>
      <xdr:colOff>476250</xdr:colOff>
      <xdr:row>129</xdr:row>
      <xdr:rowOff>95250</xdr:rowOff>
    </xdr:to>
    <xdr:pic>
      <xdr:nvPicPr>
        <xdr:cNvPr id="12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38375" y="10906125"/>
          <a:ext cx="914400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533400</xdr:colOff>
      <xdr:row>132</xdr:row>
      <xdr:rowOff>9525</xdr:rowOff>
    </xdr:from>
    <xdr:to>
      <xdr:col>4</xdr:col>
      <xdr:colOff>466725</xdr:colOff>
      <xdr:row>133</xdr:row>
      <xdr:rowOff>38100</xdr:rowOff>
    </xdr:to>
    <xdr:pic>
      <xdr:nvPicPr>
        <xdr:cNvPr id="12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11763375"/>
          <a:ext cx="1314450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137</xdr:row>
      <xdr:rowOff>19050</xdr:rowOff>
    </xdr:from>
    <xdr:to>
      <xdr:col>2</xdr:col>
      <xdr:colOff>638175</xdr:colOff>
      <xdr:row>138</xdr:row>
      <xdr:rowOff>66675</xdr:rowOff>
    </xdr:to>
    <xdr:pic>
      <xdr:nvPicPr>
        <xdr:cNvPr id="12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12725400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2</xdr:col>
      <xdr:colOff>638175</xdr:colOff>
      <xdr:row>142</xdr:row>
      <xdr:rowOff>28575</xdr:rowOff>
    </xdr:to>
    <xdr:pic>
      <xdr:nvPicPr>
        <xdr:cNvPr id="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13468350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2</xdr:col>
      <xdr:colOff>428625</xdr:colOff>
      <xdr:row>144</xdr:row>
      <xdr:rowOff>28575</xdr:rowOff>
    </xdr:to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13849350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144</xdr:row>
      <xdr:rowOff>85725</xdr:rowOff>
    </xdr:from>
    <xdr:to>
      <xdr:col>3</xdr:col>
      <xdr:colOff>723900</xdr:colOff>
      <xdr:row>146</xdr:row>
      <xdr:rowOff>133350</xdr:rowOff>
    </xdr:to>
    <xdr:pic>
      <xdr:nvPicPr>
        <xdr:cNvPr id="13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14125575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219075</xdr:colOff>
      <xdr:row>155</xdr:row>
      <xdr:rowOff>0</xdr:rowOff>
    </xdr:from>
    <xdr:to>
      <xdr:col>3</xdr:col>
      <xdr:colOff>9525</xdr:colOff>
      <xdr:row>155</xdr:row>
      <xdr:rowOff>1588</xdr:rowOff>
    </xdr:to>
    <xdr:cxnSp macro="">
      <xdr:nvCxnSpPr>
        <xdr:cNvPr id="133" name="Прямая соединительная линия 132"/>
        <xdr:cNvCxnSpPr/>
      </xdr:nvCxnSpPr>
      <xdr:spPr>
        <a:xfrm>
          <a:off x="866775" y="15801975"/>
          <a:ext cx="10858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154</xdr:row>
      <xdr:rowOff>95250</xdr:rowOff>
    </xdr:from>
    <xdr:to>
      <xdr:col>3</xdr:col>
      <xdr:colOff>466725</xdr:colOff>
      <xdr:row>155</xdr:row>
      <xdr:rowOff>76200</xdr:rowOff>
    </xdr:to>
    <xdr:sp macro="" textlink="">
      <xdr:nvSpPr>
        <xdr:cNvPr id="134" name="Прямоугольник 133"/>
        <xdr:cNvSpPr/>
      </xdr:nvSpPr>
      <xdr:spPr>
        <a:xfrm>
          <a:off x="1962150" y="15706725"/>
          <a:ext cx="447675" cy="1714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</xdr:col>
      <xdr:colOff>466725</xdr:colOff>
      <xdr:row>154</xdr:row>
      <xdr:rowOff>180975</xdr:rowOff>
    </xdr:from>
    <xdr:to>
      <xdr:col>5</xdr:col>
      <xdr:colOff>538781</xdr:colOff>
      <xdr:row>154</xdr:row>
      <xdr:rowOff>182563</xdr:rowOff>
    </xdr:to>
    <xdr:cxnSp macro="">
      <xdr:nvCxnSpPr>
        <xdr:cNvPr id="135" name="Прямая соединительная линия 134"/>
        <xdr:cNvCxnSpPr>
          <a:stCxn id="134" idx="3"/>
          <a:endCxn id="136" idx="1"/>
        </xdr:cNvCxnSpPr>
      </xdr:nvCxnSpPr>
      <xdr:spPr>
        <a:xfrm>
          <a:off x="2409825" y="15792450"/>
          <a:ext cx="17103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538781</xdr:colOff>
      <xdr:row>154</xdr:row>
      <xdr:rowOff>95250</xdr:rowOff>
    </xdr:from>
    <xdr:to>
      <xdr:col>6</xdr:col>
      <xdr:colOff>338756</xdr:colOff>
      <xdr:row>155</xdr:row>
      <xdr:rowOff>76200</xdr:rowOff>
    </xdr:to>
    <xdr:sp macro="" textlink="">
      <xdr:nvSpPr>
        <xdr:cNvPr id="136" name="Прямоугольник 135"/>
        <xdr:cNvSpPr/>
      </xdr:nvSpPr>
      <xdr:spPr>
        <a:xfrm>
          <a:off x="4120181" y="15706725"/>
          <a:ext cx="542925" cy="1714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6</xdr:col>
      <xdr:colOff>338756</xdr:colOff>
      <xdr:row>154</xdr:row>
      <xdr:rowOff>177447</xdr:rowOff>
    </xdr:from>
    <xdr:to>
      <xdr:col>7</xdr:col>
      <xdr:colOff>252618</xdr:colOff>
      <xdr:row>154</xdr:row>
      <xdr:rowOff>180975</xdr:rowOff>
    </xdr:to>
    <xdr:cxnSp macro="">
      <xdr:nvCxnSpPr>
        <xdr:cNvPr id="137" name="Прямая соединительная линия 136"/>
        <xdr:cNvCxnSpPr>
          <a:stCxn id="136" idx="3"/>
          <a:endCxn id="138" idx="2"/>
        </xdr:cNvCxnSpPr>
      </xdr:nvCxnSpPr>
      <xdr:spPr>
        <a:xfrm flipV="1">
          <a:off x="4663106" y="15788922"/>
          <a:ext cx="561562" cy="35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252618</xdr:colOff>
      <xdr:row>154</xdr:row>
      <xdr:rowOff>2469</xdr:rowOff>
    </xdr:from>
    <xdr:to>
      <xdr:col>7</xdr:col>
      <xdr:colOff>571499</xdr:colOff>
      <xdr:row>155</xdr:row>
      <xdr:rowOff>161925</xdr:rowOff>
    </xdr:to>
    <xdr:sp macro="" textlink="">
      <xdr:nvSpPr>
        <xdr:cNvPr id="138" name="Овал 137"/>
        <xdr:cNvSpPr/>
      </xdr:nvSpPr>
      <xdr:spPr>
        <a:xfrm>
          <a:off x="5224668" y="15613944"/>
          <a:ext cx="318881" cy="349956"/>
        </a:xfrm>
        <a:prstGeom prst="ellipse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475008</xdr:colOff>
      <xdr:row>154</xdr:row>
      <xdr:rowOff>2469</xdr:rowOff>
    </xdr:from>
    <xdr:to>
      <xdr:col>8</xdr:col>
      <xdr:colOff>149087</xdr:colOff>
      <xdr:row>155</xdr:row>
      <xdr:rowOff>161925</xdr:rowOff>
    </xdr:to>
    <xdr:sp macro="" textlink="">
      <xdr:nvSpPr>
        <xdr:cNvPr id="139" name="Овал 138"/>
        <xdr:cNvSpPr/>
      </xdr:nvSpPr>
      <xdr:spPr>
        <a:xfrm>
          <a:off x="5447058" y="15613944"/>
          <a:ext cx="321779" cy="349956"/>
        </a:xfrm>
        <a:prstGeom prst="ellipse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148826</xdr:colOff>
      <xdr:row>155</xdr:row>
      <xdr:rowOff>0</xdr:rowOff>
    </xdr:from>
    <xdr:to>
      <xdr:col>9</xdr:col>
      <xdr:colOff>98820</xdr:colOff>
      <xdr:row>155</xdr:row>
      <xdr:rowOff>5799</xdr:rowOff>
    </xdr:to>
    <xdr:cxnSp macro="">
      <xdr:nvCxnSpPr>
        <xdr:cNvPr id="140" name="Прямая со стрелкой 139"/>
        <xdr:cNvCxnSpPr/>
      </xdr:nvCxnSpPr>
      <xdr:spPr>
        <a:xfrm>
          <a:off x="5768576" y="15801975"/>
          <a:ext cx="597694" cy="5799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213518</xdr:colOff>
      <xdr:row>154</xdr:row>
      <xdr:rowOff>42466</xdr:rowOff>
    </xdr:from>
    <xdr:to>
      <xdr:col>1</xdr:col>
      <xdr:colOff>215106</xdr:colOff>
      <xdr:row>155</xdr:row>
      <xdr:rowOff>149622</xdr:rowOff>
    </xdr:to>
    <xdr:cxnSp macro="">
      <xdr:nvCxnSpPr>
        <xdr:cNvPr id="141" name="Прямая соединительная линия 140"/>
        <xdr:cNvCxnSpPr/>
      </xdr:nvCxnSpPr>
      <xdr:spPr>
        <a:xfrm rot="5400000">
          <a:off x="713184" y="15801975"/>
          <a:ext cx="2976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330748</xdr:colOff>
      <xdr:row>154</xdr:row>
      <xdr:rowOff>42466</xdr:rowOff>
    </xdr:from>
    <xdr:to>
      <xdr:col>8</xdr:col>
      <xdr:colOff>332336</xdr:colOff>
      <xdr:row>155</xdr:row>
      <xdr:rowOff>149622</xdr:rowOff>
    </xdr:to>
    <xdr:cxnSp macro="">
      <xdr:nvCxnSpPr>
        <xdr:cNvPr id="142" name="Прямая соединительная линия 141"/>
        <xdr:cNvCxnSpPr/>
      </xdr:nvCxnSpPr>
      <xdr:spPr>
        <a:xfrm rot="5400000">
          <a:off x="5802464" y="15801975"/>
          <a:ext cx="29765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229913</xdr:colOff>
      <xdr:row>155</xdr:row>
      <xdr:rowOff>6569</xdr:rowOff>
    </xdr:from>
    <xdr:to>
      <xdr:col>1</xdr:col>
      <xdr:colOff>387567</xdr:colOff>
      <xdr:row>157</xdr:row>
      <xdr:rowOff>33130</xdr:rowOff>
    </xdr:to>
    <xdr:grpSp>
      <xdr:nvGrpSpPr>
        <xdr:cNvPr id="143" name="Группа 142"/>
        <xdr:cNvGrpSpPr/>
      </xdr:nvGrpSpPr>
      <xdr:grpSpPr>
        <a:xfrm>
          <a:off x="882185" y="28657769"/>
          <a:ext cx="169846" cy="392321"/>
          <a:chOff x="874682" y="2102069"/>
          <a:chExt cx="157656" cy="552587"/>
        </a:xfrm>
      </xdr:grpSpPr>
      <xdr:cxnSp macro="">
        <xdr:nvCxnSpPr>
          <xdr:cNvPr id="144" name="Прямая соединительная линия 143"/>
          <xdr:cNvCxnSpPr/>
        </xdr:nvCxnSpPr>
        <xdr:spPr>
          <a:xfrm>
            <a:off x="874682" y="2102069"/>
            <a:ext cx="157656" cy="6569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Прямая со стрелкой 144"/>
          <xdr:cNvCxnSpPr/>
        </xdr:nvCxnSpPr>
        <xdr:spPr>
          <a:xfrm rot="5400000">
            <a:off x="779433" y="2407526"/>
            <a:ext cx="492672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402909</xdr:colOff>
      <xdr:row>154</xdr:row>
      <xdr:rowOff>42466</xdr:rowOff>
    </xdr:from>
    <xdr:to>
      <xdr:col>5</xdr:col>
      <xdr:colOff>87416</xdr:colOff>
      <xdr:row>157</xdr:row>
      <xdr:rowOff>33130</xdr:rowOff>
    </xdr:to>
    <xdr:grpSp>
      <xdr:nvGrpSpPr>
        <xdr:cNvPr id="146" name="Группа 145"/>
        <xdr:cNvGrpSpPr/>
      </xdr:nvGrpSpPr>
      <xdr:grpSpPr>
        <a:xfrm>
          <a:off x="3063813" y="28501642"/>
          <a:ext cx="559283" cy="548448"/>
          <a:chOff x="3061627" y="1947466"/>
          <a:chExt cx="330550" cy="562164"/>
        </a:xfrm>
      </xdr:grpSpPr>
      <xdr:cxnSp macro="">
        <xdr:nvCxnSpPr>
          <xdr:cNvPr id="147" name="Прямая соединительная линия 146"/>
          <xdr:cNvCxnSpPr/>
        </xdr:nvCxnSpPr>
        <xdr:spPr>
          <a:xfrm rot="5400000">
            <a:off x="3074619" y="2095500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48" name="Группа 51"/>
          <xdr:cNvGrpSpPr/>
        </xdr:nvGrpSpPr>
        <xdr:grpSpPr>
          <a:xfrm>
            <a:off x="3234372" y="2102076"/>
            <a:ext cx="157805" cy="407563"/>
            <a:chOff x="868756" y="2102069"/>
            <a:chExt cx="157807" cy="552587"/>
          </a:xfrm>
        </xdr:grpSpPr>
        <xdr:cxnSp macro="">
          <xdr:nvCxnSpPr>
            <xdr:cNvPr id="152" name="Прямая соединительная линия 151"/>
            <xdr:cNvCxnSpPr/>
          </xdr:nvCxnSpPr>
          <xdr:spPr>
            <a:xfrm>
              <a:off x="868756" y="2102069"/>
              <a:ext cx="157656" cy="6569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Прямая со стрелкой 152"/>
            <xdr:cNvCxnSpPr/>
          </xdr:nvCxnSpPr>
          <xdr:spPr>
            <a:xfrm rot="5400000">
              <a:off x="779433" y="2407526"/>
              <a:ext cx="49267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149" name="Группа 57"/>
          <xdr:cNvGrpSpPr/>
        </xdr:nvGrpSpPr>
        <xdr:grpSpPr>
          <a:xfrm>
            <a:off x="3061627" y="2102076"/>
            <a:ext cx="159206" cy="407563"/>
            <a:chOff x="3056553" y="2102069"/>
            <a:chExt cx="159208" cy="552587"/>
          </a:xfrm>
        </xdr:grpSpPr>
        <xdr:cxnSp macro="">
          <xdr:nvCxnSpPr>
            <xdr:cNvPr id="150" name="Прямая соединительная линия 149"/>
            <xdr:cNvCxnSpPr/>
          </xdr:nvCxnSpPr>
          <xdr:spPr>
            <a:xfrm flipH="1">
              <a:off x="3058105" y="2102069"/>
              <a:ext cx="157656" cy="6569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" name="Прямая со стрелкой 150"/>
            <xdr:cNvCxnSpPr/>
          </xdr:nvCxnSpPr>
          <xdr:spPr>
            <a:xfrm rot="16200000" flipH="1">
              <a:off x="2811011" y="2407526"/>
              <a:ext cx="49267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87923</xdr:colOff>
      <xdr:row>152</xdr:row>
      <xdr:rowOff>109904</xdr:rowOff>
    </xdr:from>
    <xdr:to>
      <xdr:col>1</xdr:col>
      <xdr:colOff>351692</xdr:colOff>
      <xdr:row>153</xdr:row>
      <xdr:rowOff>139212</xdr:rowOff>
    </xdr:to>
    <xdr:sp macro="" textlink="">
      <xdr:nvSpPr>
        <xdr:cNvPr id="154" name="TextBox 153"/>
        <xdr:cNvSpPr txBox="1"/>
      </xdr:nvSpPr>
      <xdr:spPr>
        <a:xfrm>
          <a:off x="735623" y="1534037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4</xdr:col>
      <xdr:colOff>437386</xdr:colOff>
      <xdr:row>152</xdr:row>
      <xdr:rowOff>109904</xdr:rowOff>
    </xdr:from>
    <xdr:to>
      <xdr:col>5</xdr:col>
      <xdr:colOff>56386</xdr:colOff>
      <xdr:row>153</xdr:row>
      <xdr:rowOff>139212</xdr:rowOff>
    </xdr:to>
    <xdr:sp macro="" textlink="">
      <xdr:nvSpPr>
        <xdr:cNvPr id="155" name="TextBox 154"/>
        <xdr:cNvSpPr txBox="1"/>
      </xdr:nvSpPr>
      <xdr:spPr>
        <a:xfrm>
          <a:off x="3113911" y="15340379"/>
          <a:ext cx="523875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152</xdr:row>
      <xdr:rowOff>109904</xdr:rowOff>
    </xdr:from>
    <xdr:to>
      <xdr:col>8</xdr:col>
      <xdr:colOff>454270</xdr:colOff>
      <xdr:row>153</xdr:row>
      <xdr:rowOff>139212</xdr:rowOff>
    </xdr:to>
    <xdr:sp macro="" textlink="">
      <xdr:nvSpPr>
        <xdr:cNvPr id="156" name="TextBox 155"/>
        <xdr:cNvSpPr txBox="1"/>
      </xdr:nvSpPr>
      <xdr:spPr>
        <a:xfrm>
          <a:off x="5810251" y="1534037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0</xdr:col>
      <xdr:colOff>306457</xdr:colOff>
      <xdr:row>155</xdr:row>
      <xdr:rowOff>0</xdr:rowOff>
    </xdr:from>
    <xdr:to>
      <xdr:col>1</xdr:col>
      <xdr:colOff>207066</xdr:colOff>
      <xdr:row>155</xdr:row>
      <xdr:rowOff>1588</xdr:rowOff>
    </xdr:to>
    <xdr:cxnSp macro="">
      <xdr:nvCxnSpPr>
        <xdr:cNvPr id="157" name="Прямая со стрелкой 156"/>
        <xdr:cNvCxnSpPr/>
      </xdr:nvCxnSpPr>
      <xdr:spPr>
        <a:xfrm>
          <a:off x="306457" y="15801975"/>
          <a:ext cx="548309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604630</xdr:colOff>
      <xdr:row>152</xdr:row>
      <xdr:rowOff>49696</xdr:rowOff>
    </xdr:from>
    <xdr:to>
      <xdr:col>3</xdr:col>
      <xdr:colOff>539612</xdr:colOff>
      <xdr:row>154</xdr:row>
      <xdr:rowOff>40171</xdr:rowOff>
    </xdr:to>
    <xdr:pic>
      <xdr:nvPicPr>
        <xdr:cNvPr id="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00030" y="15280171"/>
          <a:ext cx="582682" cy="3714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488676</xdr:colOff>
      <xdr:row>152</xdr:row>
      <xdr:rowOff>41413</xdr:rowOff>
    </xdr:from>
    <xdr:to>
      <xdr:col>6</xdr:col>
      <xdr:colOff>414132</xdr:colOff>
      <xdr:row>154</xdr:row>
      <xdr:rowOff>31888</xdr:rowOff>
    </xdr:to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70076" y="15271888"/>
          <a:ext cx="668406" cy="3714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629618</xdr:colOff>
      <xdr:row>154</xdr:row>
      <xdr:rowOff>155450</xdr:rowOff>
    </xdr:from>
    <xdr:to>
      <xdr:col>7</xdr:col>
      <xdr:colOff>27022</xdr:colOff>
      <xdr:row>155</xdr:row>
      <xdr:rowOff>10669</xdr:rowOff>
    </xdr:to>
    <xdr:sp macro="" textlink="">
      <xdr:nvSpPr>
        <xdr:cNvPr id="160" name="Овал 159"/>
        <xdr:cNvSpPr/>
      </xdr:nvSpPr>
      <xdr:spPr>
        <a:xfrm>
          <a:off x="4953968" y="15766925"/>
          <a:ext cx="45104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308497</xdr:colOff>
      <xdr:row>154</xdr:row>
      <xdr:rowOff>170812</xdr:rowOff>
    </xdr:from>
    <xdr:to>
      <xdr:col>8</xdr:col>
      <xdr:colOff>354216</xdr:colOff>
      <xdr:row>155</xdr:row>
      <xdr:rowOff>26031</xdr:rowOff>
    </xdr:to>
    <xdr:sp macro="" textlink="">
      <xdr:nvSpPr>
        <xdr:cNvPr id="161" name="Овал 160"/>
        <xdr:cNvSpPr/>
      </xdr:nvSpPr>
      <xdr:spPr>
        <a:xfrm>
          <a:off x="5928247" y="15782287"/>
          <a:ext cx="45719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0</xdr:colOff>
      <xdr:row>157</xdr:row>
      <xdr:rowOff>140806</xdr:rowOff>
    </xdr:from>
    <xdr:to>
      <xdr:col>6</xdr:col>
      <xdr:colOff>200025</xdr:colOff>
      <xdr:row>158</xdr:row>
      <xdr:rowOff>140806</xdr:rowOff>
    </xdr:to>
    <xdr:pic>
      <xdr:nvPicPr>
        <xdr:cNvPr id="16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581400" y="16323781"/>
          <a:ext cx="942975" cy="190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182217</xdr:colOff>
      <xdr:row>157</xdr:row>
      <xdr:rowOff>124238</xdr:rowOff>
    </xdr:from>
    <xdr:to>
      <xdr:col>1</xdr:col>
      <xdr:colOff>610842</xdr:colOff>
      <xdr:row>158</xdr:row>
      <xdr:rowOff>143288</xdr:rowOff>
    </xdr:to>
    <xdr:pic>
      <xdr:nvPicPr>
        <xdr:cNvPr id="16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9917" y="16307213"/>
          <a:ext cx="4286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107674</xdr:colOff>
      <xdr:row>157</xdr:row>
      <xdr:rowOff>124239</xdr:rowOff>
    </xdr:from>
    <xdr:to>
      <xdr:col>4</xdr:col>
      <xdr:colOff>536299</xdr:colOff>
      <xdr:row>158</xdr:row>
      <xdr:rowOff>143289</xdr:rowOff>
    </xdr:to>
    <xdr:pic>
      <xdr:nvPicPr>
        <xdr:cNvPr id="16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784199" y="16307214"/>
          <a:ext cx="4286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505240</xdr:colOff>
      <xdr:row>154</xdr:row>
      <xdr:rowOff>107674</xdr:rowOff>
    </xdr:from>
    <xdr:to>
      <xdr:col>2</xdr:col>
      <xdr:colOff>372717</xdr:colOff>
      <xdr:row>154</xdr:row>
      <xdr:rowOff>109262</xdr:rowOff>
    </xdr:to>
    <xdr:cxnSp macro="">
      <xdr:nvCxnSpPr>
        <xdr:cNvPr id="165" name="Прямая со стрелкой 164"/>
        <xdr:cNvCxnSpPr/>
      </xdr:nvCxnSpPr>
      <xdr:spPr>
        <a:xfrm>
          <a:off x="1152940" y="15719149"/>
          <a:ext cx="515177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571501</xdr:colOff>
      <xdr:row>154</xdr:row>
      <xdr:rowOff>107674</xdr:rowOff>
    </xdr:from>
    <xdr:to>
      <xdr:col>4</xdr:col>
      <xdr:colOff>438978</xdr:colOff>
      <xdr:row>154</xdr:row>
      <xdr:rowOff>109262</xdr:rowOff>
    </xdr:to>
    <xdr:cxnSp macro="">
      <xdr:nvCxnSpPr>
        <xdr:cNvPr id="166" name="Прямая со стрелкой 165"/>
        <xdr:cNvCxnSpPr/>
      </xdr:nvCxnSpPr>
      <xdr:spPr>
        <a:xfrm>
          <a:off x="2514601" y="15719149"/>
          <a:ext cx="600902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154</xdr:row>
      <xdr:rowOff>107674</xdr:rowOff>
    </xdr:from>
    <xdr:to>
      <xdr:col>7</xdr:col>
      <xdr:colOff>248478</xdr:colOff>
      <xdr:row>154</xdr:row>
      <xdr:rowOff>109262</xdr:rowOff>
    </xdr:to>
    <xdr:cxnSp macro="">
      <xdr:nvCxnSpPr>
        <xdr:cNvPr id="167" name="Прямая со стрелкой 166"/>
        <xdr:cNvCxnSpPr/>
      </xdr:nvCxnSpPr>
      <xdr:spPr>
        <a:xfrm>
          <a:off x="4705350" y="15719149"/>
          <a:ext cx="515178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496956</xdr:colOff>
      <xdr:row>154</xdr:row>
      <xdr:rowOff>0</xdr:rowOff>
    </xdr:from>
    <xdr:to>
      <xdr:col>1</xdr:col>
      <xdr:colOff>31888</xdr:colOff>
      <xdr:row>155</xdr:row>
      <xdr:rowOff>19050</xdr:rowOff>
    </xdr:to>
    <xdr:pic>
      <xdr:nvPicPr>
        <xdr:cNvPr id="16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96956" y="15611475"/>
          <a:ext cx="182632" cy="209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153</xdr:row>
      <xdr:rowOff>91108</xdr:rowOff>
    </xdr:from>
    <xdr:to>
      <xdr:col>2</xdr:col>
      <xdr:colOff>203338</xdr:colOff>
      <xdr:row>154</xdr:row>
      <xdr:rowOff>110158</xdr:rowOff>
    </xdr:to>
    <xdr:pic>
      <xdr:nvPicPr>
        <xdr:cNvPr id="16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6813" y="15512083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140803</xdr:colOff>
      <xdr:row>153</xdr:row>
      <xdr:rowOff>91108</xdr:rowOff>
    </xdr:from>
    <xdr:to>
      <xdr:col>4</xdr:col>
      <xdr:colOff>293203</xdr:colOff>
      <xdr:row>154</xdr:row>
      <xdr:rowOff>110158</xdr:rowOff>
    </xdr:to>
    <xdr:pic>
      <xdr:nvPicPr>
        <xdr:cNvPr id="17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17328" y="15512083"/>
          <a:ext cx="152400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571500</xdr:colOff>
      <xdr:row>153</xdr:row>
      <xdr:rowOff>99390</xdr:rowOff>
    </xdr:from>
    <xdr:to>
      <xdr:col>7</xdr:col>
      <xdr:colOff>77857</xdr:colOff>
      <xdr:row>154</xdr:row>
      <xdr:rowOff>118440</xdr:rowOff>
    </xdr:to>
    <xdr:pic>
      <xdr:nvPicPr>
        <xdr:cNvPr id="17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895850" y="15520365"/>
          <a:ext cx="154057" cy="2095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165652</xdr:colOff>
      <xdr:row>153</xdr:row>
      <xdr:rowOff>107674</xdr:rowOff>
    </xdr:from>
    <xdr:to>
      <xdr:col>5</xdr:col>
      <xdr:colOff>327577</xdr:colOff>
      <xdr:row>154</xdr:row>
      <xdr:rowOff>126724</xdr:rowOff>
    </xdr:to>
    <xdr:pic>
      <xdr:nvPicPr>
        <xdr:cNvPr id="17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47052" y="15528649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157369</xdr:colOff>
      <xdr:row>154</xdr:row>
      <xdr:rowOff>74543</xdr:rowOff>
    </xdr:from>
    <xdr:to>
      <xdr:col>9</xdr:col>
      <xdr:colOff>347869</xdr:colOff>
      <xdr:row>155</xdr:row>
      <xdr:rowOff>103118</xdr:rowOff>
    </xdr:to>
    <xdr:pic>
      <xdr:nvPicPr>
        <xdr:cNvPr id="17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24819" y="15686018"/>
          <a:ext cx="19050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161</xdr:row>
      <xdr:rowOff>0</xdr:rowOff>
    </xdr:from>
    <xdr:to>
      <xdr:col>1</xdr:col>
      <xdr:colOff>571500</xdr:colOff>
      <xdr:row>162</xdr:row>
      <xdr:rowOff>28575</xdr:rowOff>
    </xdr:to>
    <xdr:pic>
      <xdr:nvPicPr>
        <xdr:cNvPr id="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16944975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162</xdr:row>
      <xdr:rowOff>180975</xdr:rowOff>
    </xdr:from>
    <xdr:to>
      <xdr:col>2</xdr:col>
      <xdr:colOff>342900</xdr:colOff>
      <xdr:row>164</xdr:row>
      <xdr:rowOff>19050</xdr:rowOff>
    </xdr:to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17316450"/>
          <a:ext cx="9810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171</xdr:row>
      <xdr:rowOff>0</xdr:rowOff>
    </xdr:from>
    <xdr:to>
      <xdr:col>2</xdr:col>
      <xdr:colOff>457200</xdr:colOff>
      <xdr:row>172</xdr:row>
      <xdr:rowOff>28575</xdr:rowOff>
    </xdr:to>
    <xdr:pic>
      <xdr:nvPicPr>
        <xdr:cNvPr id="1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18849975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164</xdr:row>
      <xdr:rowOff>95250</xdr:rowOff>
    </xdr:from>
    <xdr:to>
      <xdr:col>2</xdr:col>
      <xdr:colOff>342900</xdr:colOff>
      <xdr:row>166</xdr:row>
      <xdr:rowOff>85725</xdr:rowOff>
    </xdr:to>
    <xdr:pic>
      <xdr:nvPicPr>
        <xdr:cNvPr id="17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17611725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166</xdr:row>
      <xdr:rowOff>85725</xdr:rowOff>
    </xdr:from>
    <xdr:to>
      <xdr:col>3</xdr:col>
      <xdr:colOff>571500</xdr:colOff>
      <xdr:row>168</xdr:row>
      <xdr:rowOff>123825</xdr:rowOff>
    </xdr:to>
    <xdr:pic>
      <xdr:nvPicPr>
        <xdr:cNvPr id="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17983200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176</xdr:row>
      <xdr:rowOff>114300</xdr:rowOff>
    </xdr:from>
    <xdr:to>
      <xdr:col>2</xdr:col>
      <xdr:colOff>523875</xdr:colOff>
      <xdr:row>178</xdr:row>
      <xdr:rowOff>161925</xdr:rowOff>
    </xdr:to>
    <xdr:pic>
      <xdr:nvPicPr>
        <xdr:cNvPr id="17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19964400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179</xdr:row>
      <xdr:rowOff>28575</xdr:rowOff>
    </xdr:from>
    <xdr:to>
      <xdr:col>1</xdr:col>
      <xdr:colOff>342900</xdr:colOff>
      <xdr:row>180</xdr:row>
      <xdr:rowOff>47625</xdr:rowOff>
    </xdr:to>
    <xdr:pic>
      <xdr:nvPicPr>
        <xdr:cNvPr id="18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20450175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180</xdr:row>
      <xdr:rowOff>104775</xdr:rowOff>
    </xdr:from>
    <xdr:to>
      <xdr:col>2</xdr:col>
      <xdr:colOff>114300</xdr:colOff>
      <xdr:row>182</xdr:row>
      <xdr:rowOff>133350</xdr:rowOff>
    </xdr:to>
    <xdr:pic>
      <xdr:nvPicPr>
        <xdr:cNvPr id="18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0726400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181</xdr:row>
      <xdr:rowOff>19050</xdr:rowOff>
    </xdr:from>
    <xdr:to>
      <xdr:col>3</xdr:col>
      <xdr:colOff>304800</xdr:colOff>
      <xdr:row>182</xdr:row>
      <xdr:rowOff>38100</xdr:rowOff>
    </xdr:to>
    <xdr:pic>
      <xdr:nvPicPr>
        <xdr:cNvPr id="18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2083117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276225</xdr:colOff>
      <xdr:row>184</xdr:row>
      <xdr:rowOff>9525</xdr:rowOff>
    </xdr:to>
    <xdr:pic>
      <xdr:nvPicPr>
        <xdr:cNvPr id="183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2119312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898071</xdr:colOff>
      <xdr:row>154</xdr:row>
      <xdr:rowOff>107674</xdr:rowOff>
    </xdr:from>
    <xdr:to>
      <xdr:col>5</xdr:col>
      <xdr:colOff>509735</xdr:colOff>
      <xdr:row>154</xdr:row>
      <xdr:rowOff>109262</xdr:rowOff>
    </xdr:to>
    <xdr:cxnSp macro="">
      <xdr:nvCxnSpPr>
        <xdr:cNvPr id="184" name="Прямая со стрелкой 183"/>
        <xdr:cNvCxnSpPr/>
      </xdr:nvCxnSpPr>
      <xdr:spPr>
        <a:xfrm>
          <a:off x="3574596" y="15719149"/>
          <a:ext cx="516539" cy="1588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188</xdr:row>
      <xdr:rowOff>104775</xdr:rowOff>
    </xdr:from>
    <xdr:to>
      <xdr:col>2</xdr:col>
      <xdr:colOff>428625</xdr:colOff>
      <xdr:row>190</xdr:row>
      <xdr:rowOff>152400</xdr:rowOff>
    </xdr:to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22269450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196</xdr:row>
      <xdr:rowOff>180975</xdr:rowOff>
    </xdr:from>
    <xdr:to>
      <xdr:col>4</xdr:col>
      <xdr:colOff>476250</xdr:colOff>
      <xdr:row>198</xdr:row>
      <xdr:rowOff>28575</xdr:rowOff>
    </xdr:to>
    <xdr:pic>
      <xdr:nvPicPr>
        <xdr:cNvPr id="18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9875" y="23879175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198</xdr:row>
      <xdr:rowOff>0</xdr:rowOff>
    </xdr:from>
    <xdr:to>
      <xdr:col>4</xdr:col>
      <xdr:colOff>476250</xdr:colOff>
      <xdr:row>199</xdr:row>
      <xdr:rowOff>38100</xdr:rowOff>
    </xdr:to>
    <xdr:pic>
      <xdr:nvPicPr>
        <xdr:cNvPr id="18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24079200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199</xdr:row>
      <xdr:rowOff>0</xdr:rowOff>
    </xdr:from>
    <xdr:to>
      <xdr:col>4</xdr:col>
      <xdr:colOff>476250</xdr:colOff>
      <xdr:row>200</xdr:row>
      <xdr:rowOff>38100</xdr:rowOff>
    </xdr:to>
    <xdr:pic>
      <xdr:nvPicPr>
        <xdr:cNvPr id="18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24269700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199</xdr:row>
      <xdr:rowOff>5576</xdr:rowOff>
    </xdr:from>
    <xdr:to>
      <xdr:col>6</xdr:col>
      <xdr:colOff>95251</xdr:colOff>
      <xdr:row>200</xdr:row>
      <xdr:rowOff>38100</xdr:rowOff>
    </xdr:to>
    <xdr:pic>
      <xdr:nvPicPr>
        <xdr:cNvPr id="18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24275276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3</xdr:col>
      <xdr:colOff>266700</xdr:colOff>
      <xdr:row>202</xdr:row>
      <xdr:rowOff>95250</xdr:rowOff>
    </xdr:from>
    <xdr:to>
      <xdr:col>4</xdr:col>
      <xdr:colOff>476250</xdr:colOff>
      <xdr:row>204</xdr:row>
      <xdr:rowOff>85725</xdr:rowOff>
    </xdr:to>
    <xdr:pic>
      <xdr:nvPicPr>
        <xdr:cNvPr id="19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09800" y="24936450"/>
          <a:ext cx="942975" cy="3714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295275</xdr:colOff>
      <xdr:row>200</xdr:row>
      <xdr:rowOff>104775</xdr:rowOff>
    </xdr:from>
    <xdr:to>
      <xdr:col>4</xdr:col>
      <xdr:colOff>476250</xdr:colOff>
      <xdr:row>202</xdr:row>
      <xdr:rowOff>95250</xdr:rowOff>
    </xdr:to>
    <xdr:pic>
      <xdr:nvPicPr>
        <xdr:cNvPr id="19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38375" y="24564975"/>
          <a:ext cx="914400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533400</xdr:colOff>
      <xdr:row>205</xdr:row>
      <xdr:rowOff>9525</xdr:rowOff>
    </xdr:from>
    <xdr:to>
      <xdr:col>4</xdr:col>
      <xdr:colOff>466725</xdr:colOff>
      <xdr:row>206</xdr:row>
      <xdr:rowOff>38100</xdr:rowOff>
    </xdr:to>
    <xdr:pic>
      <xdr:nvPicPr>
        <xdr:cNvPr id="19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25422225"/>
          <a:ext cx="1314450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210</xdr:row>
      <xdr:rowOff>19050</xdr:rowOff>
    </xdr:from>
    <xdr:to>
      <xdr:col>2</xdr:col>
      <xdr:colOff>638175</xdr:colOff>
      <xdr:row>211</xdr:row>
      <xdr:rowOff>66675</xdr:rowOff>
    </xdr:to>
    <xdr:pic>
      <xdr:nvPicPr>
        <xdr:cNvPr id="19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26384250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2</xdr:col>
      <xdr:colOff>638175</xdr:colOff>
      <xdr:row>215</xdr:row>
      <xdr:rowOff>28575</xdr:rowOff>
    </xdr:to>
    <xdr:pic>
      <xdr:nvPicPr>
        <xdr:cNvPr id="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7127200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2</xdr:col>
      <xdr:colOff>428625</xdr:colOff>
      <xdr:row>217</xdr:row>
      <xdr:rowOff>28575</xdr:rowOff>
    </xdr:to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7508200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217</xdr:row>
      <xdr:rowOff>85725</xdr:rowOff>
    </xdr:from>
    <xdr:to>
      <xdr:col>3</xdr:col>
      <xdr:colOff>723900</xdr:colOff>
      <xdr:row>219</xdr:row>
      <xdr:rowOff>133350</xdr:rowOff>
    </xdr:to>
    <xdr:pic>
      <xdr:nvPicPr>
        <xdr:cNvPr id="19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7784425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336401</xdr:colOff>
      <xdr:row>226</xdr:row>
      <xdr:rowOff>184448</xdr:rowOff>
    </xdr:from>
    <xdr:to>
      <xdr:col>0</xdr:col>
      <xdr:colOff>600170</xdr:colOff>
      <xdr:row>228</xdr:row>
      <xdr:rowOff>23256</xdr:rowOff>
    </xdr:to>
    <xdr:sp macro="" textlink="">
      <xdr:nvSpPr>
        <xdr:cNvPr id="218" name="TextBox 217"/>
        <xdr:cNvSpPr txBox="1"/>
      </xdr:nvSpPr>
      <xdr:spPr>
        <a:xfrm>
          <a:off x="336401" y="4387520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3</xdr:col>
      <xdr:colOff>271734</xdr:colOff>
      <xdr:row>226</xdr:row>
      <xdr:rowOff>184447</xdr:rowOff>
    </xdr:from>
    <xdr:to>
      <xdr:col>3</xdr:col>
      <xdr:colOff>530087</xdr:colOff>
      <xdr:row>228</xdr:row>
      <xdr:rowOff>23255</xdr:rowOff>
    </xdr:to>
    <xdr:sp macro="" textlink="">
      <xdr:nvSpPr>
        <xdr:cNvPr id="219" name="TextBox 218"/>
        <xdr:cNvSpPr txBox="1"/>
      </xdr:nvSpPr>
      <xdr:spPr>
        <a:xfrm>
          <a:off x="2209864" y="43875208"/>
          <a:ext cx="258353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230</xdr:row>
      <xdr:rowOff>109904</xdr:rowOff>
    </xdr:from>
    <xdr:to>
      <xdr:col>8</xdr:col>
      <xdr:colOff>454270</xdr:colOff>
      <xdr:row>231</xdr:row>
      <xdr:rowOff>139212</xdr:rowOff>
    </xdr:to>
    <xdr:sp macro="" textlink="">
      <xdr:nvSpPr>
        <xdr:cNvPr id="220" name="TextBox 219"/>
        <xdr:cNvSpPr txBox="1"/>
      </xdr:nvSpPr>
      <xdr:spPr>
        <a:xfrm>
          <a:off x="5810251" y="2938022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</xdr:col>
      <xdr:colOff>28575</xdr:colOff>
      <xdr:row>238</xdr:row>
      <xdr:rowOff>0</xdr:rowOff>
    </xdr:from>
    <xdr:to>
      <xdr:col>1</xdr:col>
      <xdr:colOff>571500</xdr:colOff>
      <xdr:row>239</xdr:row>
      <xdr:rowOff>28575</xdr:rowOff>
    </xdr:to>
    <xdr:pic>
      <xdr:nvPicPr>
        <xdr:cNvPr id="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30984825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250</xdr:row>
      <xdr:rowOff>0</xdr:rowOff>
    </xdr:from>
    <xdr:to>
      <xdr:col>2</xdr:col>
      <xdr:colOff>457200</xdr:colOff>
      <xdr:row>251</xdr:row>
      <xdr:rowOff>28575</xdr:rowOff>
    </xdr:to>
    <xdr:pic>
      <xdr:nvPicPr>
        <xdr:cNvPr id="24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32889825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243</xdr:row>
      <xdr:rowOff>95250</xdr:rowOff>
    </xdr:from>
    <xdr:to>
      <xdr:col>2</xdr:col>
      <xdr:colOff>342900</xdr:colOff>
      <xdr:row>245</xdr:row>
      <xdr:rowOff>85725</xdr:rowOff>
    </xdr:to>
    <xdr:pic>
      <xdr:nvPicPr>
        <xdr:cNvPr id="24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31651575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245</xdr:row>
      <xdr:rowOff>85725</xdr:rowOff>
    </xdr:from>
    <xdr:to>
      <xdr:col>3</xdr:col>
      <xdr:colOff>571500</xdr:colOff>
      <xdr:row>247</xdr:row>
      <xdr:rowOff>123825</xdr:rowOff>
    </xdr:to>
    <xdr:pic>
      <xdr:nvPicPr>
        <xdr:cNvPr id="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32023050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287</xdr:row>
      <xdr:rowOff>114300</xdr:rowOff>
    </xdr:from>
    <xdr:to>
      <xdr:col>2</xdr:col>
      <xdr:colOff>523875</xdr:colOff>
      <xdr:row>289</xdr:row>
      <xdr:rowOff>161925</xdr:rowOff>
    </xdr:to>
    <xdr:pic>
      <xdr:nvPicPr>
        <xdr:cNvPr id="24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34004250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290</xdr:row>
      <xdr:rowOff>28575</xdr:rowOff>
    </xdr:from>
    <xdr:to>
      <xdr:col>1</xdr:col>
      <xdr:colOff>342900</xdr:colOff>
      <xdr:row>291</xdr:row>
      <xdr:rowOff>47625</xdr:rowOff>
    </xdr:to>
    <xdr:pic>
      <xdr:nvPicPr>
        <xdr:cNvPr id="24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34490025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291</xdr:row>
      <xdr:rowOff>104775</xdr:rowOff>
    </xdr:from>
    <xdr:to>
      <xdr:col>2</xdr:col>
      <xdr:colOff>114300</xdr:colOff>
      <xdr:row>293</xdr:row>
      <xdr:rowOff>133350</xdr:rowOff>
    </xdr:to>
    <xdr:pic>
      <xdr:nvPicPr>
        <xdr:cNvPr id="24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34766250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292</xdr:row>
      <xdr:rowOff>19050</xdr:rowOff>
    </xdr:from>
    <xdr:to>
      <xdr:col>3</xdr:col>
      <xdr:colOff>304800</xdr:colOff>
      <xdr:row>293</xdr:row>
      <xdr:rowOff>38100</xdr:rowOff>
    </xdr:to>
    <xdr:pic>
      <xdr:nvPicPr>
        <xdr:cNvPr id="24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3487102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294</xdr:row>
      <xdr:rowOff>0</xdr:rowOff>
    </xdr:from>
    <xdr:to>
      <xdr:col>6</xdr:col>
      <xdr:colOff>276225</xdr:colOff>
      <xdr:row>295</xdr:row>
      <xdr:rowOff>9525</xdr:rowOff>
    </xdr:to>
    <xdr:pic>
      <xdr:nvPicPr>
        <xdr:cNvPr id="247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3523297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41413</xdr:colOff>
      <xdr:row>222</xdr:row>
      <xdr:rowOff>114622</xdr:rowOff>
    </xdr:from>
    <xdr:to>
      <xdr:col>9</xdr:col>
      <xdr:colOff>483041</xdr:colOff>
      <xdr:row>233</xdr:row>
      <xdr:rowOff>180201</xdr:rowOff>
    </xdr:to>
    <xdr:grpSp>
      <xdr:nvGrpSpPr>
        <xdr:cNvPr id="262" name="Группа 261"/>
        <xdr:cNvGrpSpPr/>
      </xdr:nvGrpSpPr>
      <xdr:grpSpPr>
        <a:xfrm>
          <a:off x="38365" y="41137654"/>
          <a:ext cx="6647356" cy="2077259"/>
          <a:chOff x="306457" y="43640045"/>
          <a:chExt cx="8944442" cy="2476192"/>
        </a:xfrm>
      </xdr:grpSpPr>
      <xdr:sp macro="" textlink="">
        <xdr:nvSpPr>
          <xdr:cNvPr id="200" name="Прямоугольник 199"/>
          <xdr:cNvSpPr/>
        </xdr:nvSpPr>
        <xdr:spPr>
          <a:xfrm>
            <a:off x="4116868" y="44929011"/>
            <a:ext cx="545410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201" name="Прямая соединительная линия 200"/>
          <xdr:cNvCxnSpPr>
            <a:stCxn id="200" idx="3"/>
          </xdr:cNvCxnSpPr>
        </xdr:nvCxnSpPr>
        <xdr:spPr>
          <a:xfrm>
            <a:off x="4662279" y="45014736"/>
            <a:ext cx="1490528" cy="207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22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066763" y="44494174"/>
            <a:ext cx="670891" cy="371475"/>
          </a:xfrm>
          <a:prstGeom prst="rect">
            <a:avLst/>
          </a:prstGeom>
          <a:noFill/>
        </xdr:spPr>
      </xdr:pic>
      <xdr:cxnSp macro="">
        <xdr:nvCxnSpPr>
          <xdr:cNvPr id="231" name="Прямая со стрелкой 230"/>
          <xdr:cNvCxnSpPr/>
        </xdr:nvCxnSpPr>
        <xdr:spPr>
          <a:xfrm>
            <a:off x="5154049" y="44941435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61" name="Группа 260"/>
          <xdr:cNvGrpSpPr/>
        </xdr:nvGrpSpPr>
        <xdr:grpSpPr>
          <a:xfrm>
            <a:off x="306457" y="44502457"/>
            <a:ext cx="4217090" cy="1236593"/>
            <a:chOff x="306457" y="44502457"/>
            <a:chExt cx="4217090" cy="1236593"/>
          </a:xfrm>
        </xdr:grpSpPr>
        <xdr:cxnSp macro="">
          <xdr:nvCxnSpPr>
            <xdr:cNvPr id="197" name="Прямая соединительная линия 196"/>
            <xdr:cNvCxnSpPr/>
          </xdr:nvCxnSpPr>
          <xdr:spPr>
            <a:xfrm>
              <a:off x="865118" y="45024261"/>
              <a:ext cx="1082537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98" name="Прямоугольник 197"/>
            <xdr:cNvSpPr/>
          </xdr:nvSpPr>
          <xdr:spPr>
            <a:xfrm>
              <a:off x="1957180" y="44929011"/>
              <a:ext cx="447675" cy="1714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cxnSp macro="">
          <xdr:nvCxnSpPr>
            <xdr:cNvPr id="199" name="Прямая соединительная линия 198"/>
            <xdr:cNvCxnSpPr>
              <a:stCxn id="198" idx="3"/>
              <a:endCxn id="200" idx="1"/>
            </xdr:cNvCxnSpPr>
          </xdr:nvCxnSpPr>
          <xdr:spPr>
            <a:xfrm>
              <a:off x="2404855" y="45014736"/>
              <a:ext cx="1712013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" name="Прямая соединительная линия 204"/>
            <xdr:cNvCxnSpPr/>
          </xdr:nvCxnSpPr>
          <xdr:spPr>
            <a:xfrm rot="5400000">
              <a:off x="711527" y="45024261"/>
              <a:ext cx="297656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07" name="Группа 206"/>
            <xdr:cNvGrpSpPr/>
          </xdr:nvGrpSpPr>
          <xdr:grpSpPr>
            <a:xfrm>
              <a:off x="875956" y="45030830"/>
              <a:ext cx="157654" cy="407561"/>
              <a:chOff x="874682" y="2102069"/>
              <a:chExt cx="157656" cy="552587"/>
            </a:xfrm>
          </xdr:grpSpPr>
          <xdr:cxnSp macro="">
            <xdr:nvCxnSpPr>
              <xdr:cNvPr id="208" name="Прямая соединительная линия 207"/>
              <xdr:cNvCxnSpPr/>
            </xdr:nvCxnSpPr>
            <xdr:spPr>
              <a:xfrm>
                <a:off x="874682" y="2102069"/>
                <a:ext cx="157656" cy="6569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09" name="Прямая со стрелкой 208"/>
              <xdr:cNvCxnSpPr/>
            </xdr:nvCxnSpPr>
            <xdr:spPr>
              <a:xfrm rot="5400000">
                <a:off x="779433" y="2407526"/>
                <a:ext cx="492672" cy="1588"/>
              </a:xfrm>
              <a:prstGeom prst="straightConnector1">
                <a:avLst/>
              </a:prstGeom>
              <a:ln>
                <a:tailEnd type="stealt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210" name="Группа 209"/>
            <xdr:cNvGrpSpPr/>
          </xdr:nvGrpSpPr>
          <xdr:grpSpPr>
            <a:xfrm>
              <a:off x="3078192" y="44876227"/>
              <a:ext cx="587311" cy="562164"/>
              <a:chOff x="3061627" y="1947466"/>
              <a:chExt cx="330550" cy="562164"/>
            </a:xfrm>
          </xdr:grpSpPr>
          <xdr:cxnSp macro="">
            <xdr:nvCxnSpPr>
              <xdr:cNvPr id="211" name="Прямая соединительная линия 210"/>
              <xdr:cNvCxnSpPr/>
            </xdr:nvCxnSpPr>
            <xdr:spPr>
              <a:xfrm rot="5400000">
                <a:off x="3074619" y="2095500"/>
                <a:ext cx="297656" cy="1588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212" name="Группа 51"/>
              <xdr:cNvGrpSpPr/>
            </xdr:nvGrpSpPr>
            <xdr:grpSpPr>
              <a:xfrm>
                <a:off x="3234372" y="2102076"/>
                <a:ext cx="157805" cy="407563"/>
                <a:chOff x="868756" y="2102069"/>
                <a:chExt cx="157807" cy="552587"/>
              </a:xfrm>
            </xdr:grpSpPr>
            <xdr:cxnSp macro="">
              <xdr:nvCxnSpPr>
                <xdr:cNvPr id="216" name="Прямая соединительная линия 215"/>
                <xdr:cNvCxnSpPr/>
              </xdr:nvCxnSpPr>
              <xdr:spPr>
                <a:xfrm>
                  <a:off x="868756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7" name="Прямая со стрелкой 216"/>
                <xdr:cNvCxnSpPr/>
              </xdr:nvCxnSpPr>
              <xdr:spPr>
                <a:xfrm rot="5400000">
                  <a:off x="779433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213" name="Группа 57"/>
              <xdr:cNvGrpSpPr/>
            </xdr:nvGrpSpPr>
            <xdr:grpSpPr>
              <a:xfrm>
                <a:off x="3061627" y="2102076"/>
                <a:ext cx="159206" cy="407563"/>
                <a:chOff x="3056553" y="2102069"/>
                <a:chExt cx="159208" cy="552587"/>
              </a:xfrm>
            </xdr:grpSpPr>
            <xdr:cxnSp macro="">
              <xdr:nvCxnSpPr>
                <xdr:cNvPr id="214" name="Прямая соединительная линия 213"/>
                <xdr:cNvCxnSpPr/>
              </xdr:nvCxnSpPr>
              <xdr:spPr>
                <a:xfrm flipH="1">
                  <a:off x="3058105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5" name="Прямая со стрелкой 214"/>
                <xdr:cNvCxnSpPr/>
              </xdr:nvCxnSpPr>
              <xdr:spPr>
                <a:xfrm rot="16200000" flipH="1">
                  <a:off x="2811011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221" name="Прямая со стрелкой 220"/>
            <xdr:cNvCxnSpPr/>
          </xdr:nvCxnSpPr>
          <xdr:spPr>
            <a:xfrm>
              <a:off x="306457" y="45024261"/>
              <a:ext cx="54665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222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896717" y="44502457"/>
              <a:ext cx="581025" cy="371475"/>
            </a:xfrm>
            <a:prstGeom prst="rect">
              <a:avLst/>
            </a:prstGeom>
            <a:noFill/>
          </xdr:spPr>
        </xdr:pic>
        <xdr:pic>
          <xdr:nvPicPr>
            <xdr:cNvPr id="226" name="Picture 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578087" y="45546067"/>
              <a:ext cx="945460" cy="190500"/>
            </a:xfrm>
            <a:prstGeom prst="rect">
              <a:avLst/>
            </a:prstGeom>
            <a:noFill/>
          </xdr:spPr>
        </xdr:pic>
        <xdr:pic>
          <xdr:nvPicPr>
            <xdr:cNvPr id="227" name="Picture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828260" y="45529499"/>
              <a:ext cx="428625" cy="209550"/>
            </a:xfrm>
            <a:prstGeom prst="rect">
              <a:avLst/>
            </a:prstGeom>
            <a:noFill/>
          </xdr:spPr>
        </xdr:pic>
        <xdr:pic>
          <xdr:nvPicPr>
            <xdr:cNvPr id="228" name="Picture 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782957" y="45529500"/>
              <a:ext cx="428625" cy="209550"/>
            </a:xfrm>
            <a:prstGeom prst="rect">
              <a:avLst/>
            </a:prstGeom>
            <a:noFill/>
          </xdr:spPr>
        </xdr:pic>
        <xdr:cxnSp macro="">
          <xdr:nvCxnSpPr>
            <xdr:cNvPr id="229" name="Прямая со стрелкой 228"/>
            <xdr:cNvCxnSpPr/>
          </xdr:nvCxnSpPr>
          <xdr:spPr>
            <a:xfrm>
              <a:off x="1151283" y="44941435"/>
              <a:ext cx="513521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0" name="Прямая со стрелкой 229"/>
            <xdr:cNvCxnSpPr/>
          </xdr:nvCxnSpPr>
          <xdr:spPr>
            <a:xfrm>
              <a:off x="2509631" y="44941435"/>
              <a:ext cx="604630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232" name="Picture 7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496956" y="44833761"/>
              <a:ext cx="180975" cy="209550"/>
            </a:xfrm>
            <a:prstGeom prst="rect">
              <a:avLst/>
            </a:prstGeom>
            <a:noFill/>
          </xdr:spPr>
        </xdr:pic>
        <xdr:pic>
          <xdr:nvPicPr>
            <xdr:cNvPr id="233" name="Picture 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333500" y="44734369"/>
              <a:ext cx="161925" cy="209550"/>
            </a:xfrm>
            <a:prstGeom prst="rect">
              <a:avLst/>
            </a:prstGeom>
            <a:noFill/>
          </xdr:spPr>
        </xdr:pic>
        <xdr:pic>
          <xdr:nvPicPr>
            <xdr:cNvPr id="234" name="Picture 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816086" y="44734369"/>
              <a:ext cx="152400" cy="209550"/>
            </a:xfrm>
            <a:prstGeom prst="rect">
              <a:avLst/>
            </a:prstGeom>
            <a:noFill/>
          </xdr:spPr>
        </xdr:pic>
        <xdr:pic>
          <xdr:nvPicPr>
            <xdr:cNvPr id="236" name="Picture 1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743739" y="44750935"/>
              <a:ext cx="161925" cy="209550"/>
            </a:xfrm>
            <a:prstGeom prst="rect">
              <a:avLst/>
            </a:prstGeom>
            <a:noFill/>
          </xdr:spPr>
        </xdr:pic>
        <xdr:cxnSp macro="">
          <xdr:nvCxnSpPr>
            <xdr:cNvPr id="248" name="Прямая со стрелкой 247"/>
            <xdr:cNvCxnSpPr/>
          </xdr:nvCxnSpPr>
          <xdr:spPr>
            <a:xfrm>
              <a:off x="3573354" y="44941435"/>
              <a:ext cx="514468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09" name="Прямоугольник 308"/>
          <xdr:cNvSpPr/>
        </xdr:nvSpPr>
        <xdr:spPr>
          <a:xfrm>
            <a:off x="6614577" y="4407488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10" name="Прямая соединительная линия 309"/>
          <xdr:cNvCxnSpPr>
            <a:stCxn id="309" idx="3"/>
            <a:endCxn id="311" idx="2"/>
          </xdr:cNvCxnSpPr>
        </xdr:nvCxnSpPr>
        <xdr:spPr>
          <a:xfrm flipV="1">
            <a:off x="7159986" y="44157078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11" name="Овал 310"/>
          <xdr:cNvSpPr/>
        </xdr:nvSpPr>
        <xdr:spPr>
          <a:xfrm>
            <a:off x="7719890" y="43982100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12" name="Овал 311"/>
          <xdr:cNvSpPr/>
        </xdr:nvSpPr>
        <xdr:spPr>
          <a:xfrm>
            <a:off x="7986490" y="43982100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13" name="Прямая со стрелкой 312"/>
          <xdr:cNvCxnSpPr/>
        </xdr:nvCxnSpPr>
        <xdr:spPr>
          <a:xfrm>
            <a:off x="8384367" y="44170132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" name="Прямая соединительная линия 313"/>
          <xdr:cNvCxnSpPr/>
        </xdr:nvCxnSpPr>
        <xdr:spPr>
          <a:xfrm rot="5400000">
            <a:off x="8539172" y="4417013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15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564471" y="43640045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316" name="Овал 315"/>
          <xdr:cNvSpPr/>
        </xdr:nvSpPr>
        <xdr:spPr>
          <a:xfrm>
            <a:off x="7450848" y="44135082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17" name="Овал 316"/>
          <xdr:cNvSpPr/>
        </xdr:nvSpPr>
        <xdr:spPr>
          <a:xfrm>
            <a:off x="8664954" y="44150444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18" name="Прямая со стрелкой 317"/>
          <xdr:cNvCxnSpPr/>
        </xdr:nvCxnSpPr>
        <xdr:spPr>
          <a:xfrm>
            <a:off x="7202230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19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16195" y="44054175"/>
            <a:ext cx="190499" cy="219075"/>
          </a:xfrm>
          <a:prstGeom prst="rect">
            <a:avLst/>
          </a:prstGeom>
          <a:noFill/>
        </xdr:spPr>
      </xdr:pic>
      <xdr:sp macro="" textlink="">
        <xdr:nvSpPr>
          <xdr:cNvPr id="320" name="Прямоугольник 319"/>
          <xdr:cNvSpPr/>
        </xdr:nvSpPr>
        <xdr:spPr>
          <a:xfrm>
            <a:off x="6658784" y="4585906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21" name="Прямая соединительная линия 320"/>
          <xdr:cNvCxnSpPr>
            <a:stCxn id="320" idx="3"/>
            <a:endCxn id="322" idx="2"/>
          </xdr:cNvCxnSpPr>
        </xdr:nvCxnSpPr>
        <xdr:spPr>
          <a:xfrm flipV="1">
            <a:off x="7204192" y="45941259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2" name="Овал 321"/>
          <xdr:cNvSpPr/>
        </xdr:nvSpPr>
        <xdr:spPr>
          <a:xfrm>
            <a:off x="7764097" y="45766281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23" name="Овал 322"/>
          <xdr:cNvSpPr/>
        </xdr:nvSpPr>
        <xdr:spPr>
          <a:xfrm>
            <a:off x="8030696" y="45766281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24" name="Прямая со стрелкой 323"/>
          <xdr:cNvCxnSpPr/>
        </xdr:nvCxnSpPr>
        <xdr:spPr>
          <a:xfrm>
            <a:off x="8428573" y="45954313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" name="Прямая соединительная линия 324"/>
          <xdr:cNvCxnSpPr/>
        </xdr:nvCxnSpPr>
        <xdr:spPr>
          <a:xfrm rot="5400000">
            <a:off x="8583378" y="4595431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26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608677" y="45424226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327" name="Овал 326"/>
          <xdr:cNvSpPr/>
        </xdr:nvSpPr>
        <xdr:spPr>
          <a:xfrm>
            <a:off x="7495054" y="45919263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28" name="Овал 327"/>
          <xdr:cNvSpPr/>
        </xdr:nvSpPr>
        <xdr:spPr>
          <a:xfrm>
            <a:off x="8709160" y="45934625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29" name="Прямая со стрелкой 328"/>
          <xdr:cNvCxnSpPr/>
        </xdr:nvCxnSpPr>
        <xdr:spPr>
          <a:xfrm>
            <a:off x="7246436" y="46013840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30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60400" y="45838356"/>
            <a:ext cx="190499" cy="219075"/>
          </a:xfrm>
          <a:prstGeom prst="rect">
            <a:avLst/>
          </a:prstGeom>
          <a:noFill/>
        </xdr:spPr>
      </xdr:pic>
      <xdr:cxnSp macro="">
        <xdr:nvCxnSpPr>
          <xdr:cNvPr id="343" name="Прямая со стрелкой 342"/>
          <xdr:cNvCxnSpPr/>
        </xdr:nvCxnSpPr>
        <xdr:spPr>
          <a:xfrm>
            <a:off x="5876014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" name="Прямая со стрелкой 343"/>
          <xdr:cNvCxnSpPr/>
        </xdr:nvCxnSpPr>
        <xdr:spPr>
          <a:xfrm>
            <a:off x="5876014" y="46023331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</xdr:colOff>
      <xdr:row>300</xdr:row>
      <xdr:rowOff>104775</xdr:rowOff>
    </xdr:from>
    <xdr:to>
      <xdr:col>2</xdr:col>
      <xdr:colOff>428625</xdr:colOff>
      <xdr:row>302</xdr:row>
      <xdr:rowOff>152400</xdr:rowOff>
    </xdr:to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36309300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308</xdr:row>
      <xdr:rowOff>180975</xdr:rowOff>
    </xdr:from>
    <xdr:to>
      <xdr:col>4</xdr:col>
      <xdr:colOff>476250</xdr:colOff>
      <xdr:row>310</xdr:row>
      <xdr:rowOff>28575</xdr:rowOff>
    </xdr:to>
    <xdr:pic>
      <xdr:nvPicPr>
        <xdr:cNvPr id="25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9875" y="37919025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310</xdr:row>
      <xdr:rowOff>0</xdr:rowOff>
    </xdr:from>
    <xdr:to>
      <xdr:col>4</xdr:col>
      <xdr:colOff>476250</xdr:colOff>
      <xdr:row>311</xdr:row>
      <xdr:rowOff>38100</xdr:rowOff>
    </xdr:to>
    <xdr:pic>
      <xdr:nvPicPr>
        <xdr:cNvPr id="25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38119050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311</xdr:row>
      <xdr:rowOff>0</xdr:rowOff>
    </xdr:from>
    <xdr:to>
      <xdr:col>4</xdr:col>
      <xdr:colOff>476250</xdr:colOff>
      <xdr:row>312</xdr:row>
      <xdr:rowOff>38100</xdr:rowOff>
    </xdr:to>
    <xdr:pic>
      <xdr:nvPicPr>
        <xdr:cNvPr id="25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0350" y="38309550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311</xdr:row>
      <xdr:rowOff>5576</xdr:rowOff>
    </xdr:from>
    <xdr:to>
      <xdr:col>6</xdr:col>
      <xdr:colOff>95251</xdr:colOff>
      <xdr:row>312</xdr:row>
      <xdr:rowOff>38100</xdr:rowOff>
    </xdr:to>
    <xdr:pic>
      <xdr:nvPicPr>
        <xdr:cNvPr id="25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38315126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3</xdr:col>
      <xdr:colOff>266700</xdr:colOff>
      <xdr:row>314</xdr:row>
      <xdr:rowOff>95250</xdr:rowOff>
    </xdr:from>
    <xdr:to>
      <xdr:col>4</xdr:col>
      <xdr:colOff>476250</xdr:colOff>
      <xdr:row>316</xdr:row>
      <xdr:rowOff>85725</xdr:rowOff>
    </xdr:to>
    <xdr:pic>
      <xdr:nvPicPr>
        <xdr:cNvPr id="25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09800" y="38976300"/>
          <a:ext cx="942975" cy="3714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295275</xdr:colOff>
      <xdr:row>312</xdr:row>
      <xdr:rowOff>104775</xdr:rowOff>
    </xdr:from>
    <xdr:to>
      <xdr:col>4</xdr:col>
      <xdr:colOff>476250</xdr:colOff>
      <xdr:row>314</xdr:row>
      <xdr:rowOff>95250</xdr:rowOff>
    </xdr:to>
    <xdr:pic>
      <xdr:nvPicPr>
        <xdr:cNvPr id="25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38375" y="38604825"/>
          <a:ext cx="914400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533400</xdr:colOff>
      <xdr:row>317</xdr:row>
      <xdr:rowOff>9525</xdr:rowOff>
    </xdr:from>
    <xdr:to>
      <xdr:col>4</xdr:col>
      <xdr:colOff>466725</xdr:colOff>
      <xdr:row>318</xdr:row>
      <xdr:rowOff>38100</xdr:rowOff>
    </xdr:to>
    <xdr:pic>
      <xdr:nvPicPr>
        <xdr:cNvPr id="25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8800" y="39462075"/>
          <a:ext cx="1314450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322</xdr:row>
      <xdr:rowOff>19050</xdr:rowOff>
    </xdr:from>
    <xdr:to>
      <xdr:col>2</xdr:col>
      <xdr:colOff>638175</xdr:colOff>
      <xdr:row>323</xdr:row>
      <xdr:rowOff>66675</xdr:rowOff>
    </xdr:to>
    <xdr:pic>
      <xdr:nvPicPr>
        <xdr:cNvPr id="25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40424100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2</xdr:col>
      <xdr:colOff>638175</xdr:colOff>
      <xdr:row>327</xdr:row>
      <xdr:rowOff>28575</xdr:rowOff>
    </xdr:to>
    <xdr:pic>
      <xdr:nvPicPr>
        <xdr:cNvPr id="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41167050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2</xdr:col>
      <xdr:colOff>428625</xdr:colOff>
      <xdr:row>329</xdr:row>
      <xdr:rowOff>28575</xdr:rowOff>
    </xdr:to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41548050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329</xdr:row>
      <xdr:rowOff>85725</xdr:rowOff>
    </xdr:from>
    <xdr:to>
      <xdr:col>3</xdr:col>
      <xdr:colOff>723900</xdr:colOff>
      <xdr:row>331</xdr:row>
      <xdr:rowOff>133350</xdr:rowOff>
    </xdr:to>
    <xdr:pic>
      <xdr:nvPicPr>
        <xdr:cNvPr id="26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41824275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123862</xdr:colOff>
      <xdr:row>224</xdr:row>
      <xdr:rowOff>187938</xdr:rowOff>
    </xdr:from>
    <xdr:to>
      <xdr:col>6</xdr:col>
      <xdr:colOff>436759</xdr:colOff>
      <xdr:row>224</xdr:row>
      <xdr:rowOff>190499</xdr:rowOff>
    </xdr:to>
    <xdr:cxnSp macro="">
      <xdr:nvCxnSpPr>
        <xdr:cNvPr id="332" name="Прямая соединительная линия 331"/>
        <xdr:cNvCxnSpPr/>
      </xdr:nvCxnSpPr>
      <xdr:spPr>
        <a:xfrm rot="10800000" flipV="1">
          <a:off x="4453407" y="43487722"/>
          <a:ext cx="312897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106880</xdr:colOff>
      <xdr:row>224</xdr:row>
      <xdr:rowOff>186586</xdr:rowOff>
    </xdr:from>
    <xdr:to>
      <xdr:col>6</xdr:col>
      <xdr:colOff>108468</xdr:colOff>
      <xdr:row>233</xdr:row>
      <xdr:rowOff>37500</xdr:rowOff>
    </xdr:to>
    <xdr:cxnSp macro="">
      <xdr:nvCxnSpPr>
        <xdr:cNvPr id="334" name="Прямая соединительная линия 333"/>
        <xdr:cNvCxnSpPr/>
      </xdr:nvCxnSpPr>
      <xdr:spPr>
        <a:xfrm rot="5400000">
          <a:off x="3654512" y="44268283"/>
          <a:ext cx="156541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107674</xdr:colOff>
      <xdr:row>233</xdr:row>
      <xdr:rowOff>30569</xdr:rowOff>
    </xdr:from>
    <xdr:to>
      <xdr:col>6</xdr:col>
      <xdr:colOff>478548</xdr:colOff>
      <xdr:row>233</xdr:row>
      <xdr:rowOff>33130</xdr:rowOff>
    </xdr:to>
    <xdr:cxnSp macro="">
      <xdr:nvCxnSpPr>
        <xdr:cNvPr id="336" name="Прямая соединительная линия 335"/>
        <xdr:cNvCxnSpPr>
          <a:endCxn id="320" idx="1"/>
        </xdr:cNvCxnSpPr>
      </xdr:nvCxnSpPr>
      <xdr:spPr>
        <a:xfrm flipV="1">
          <a:off x="4437219" y="44854353"/>
          <a:ext cx="370874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169229</xdr:colOff>
      <xdr:row>227</xdr:row>
      <xdr:rowOff>115956</xdr:rowOff>
    </xdr:from>
    <xdr:to>
      <xdr:col>5</xdr:col>
      <xdr:colOff>403854</xdr:colOff>
      <xdr:row>228</xdr:row>
      <xdr:rowOff>101876</xdr:rowOff>
    </xdr:to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54093" y="43796740"/>
          <a:ext cx="234625" cy="17642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704022</xdr:colOff>
      <xdr:row>223</xdr:row>
      <xdr:rowOff>98799</xdr:rowOff>
    </xdr:from>
    <xdr:to>
      <xdr:col>6</xdr:col>
      <xdr:colOff>183873</xdr:colOff>
      <xdr:row>224</xdr:row>
      <xdr:rowOff>85309</xdr:rowOff>
    </xdr:to>
    <xdr:pic>
      <xdr:nvPicPr>
        <xdr:cNvPr id="515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2109" y="43218060"/>
          <a:ext cx="225286" cy="17701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704021</xdr:colOff>
      <xdr:row>233</xdr:row>
      <xdr:rowOff>146327</xdr:rowOff>
    </xdr:from>
    <xdr:to>
      <xdr:col>6</xdr:col>
      <xdr:colOff>202923</xdr:colOff>
      <xdr:row>234</xdr:row>
      <xdr:rowOff>135007</xdr:rowOff>
    </xdr:to>
    <xdr:pic>
      <xdr:nvPicPr>
        <xdr:cNvPr id="515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2108" y="45170588"/>
          <a:ext cx="244337" cy="17918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239</xdr:row>
      <xdr:rowOff>149087</xdr:rowOff>
    </xdr:from>
    <xdr:to>
      <xdr:col>1</xdr:col>
      <xdr:colOff>483291</xdr:colOff>
      <xdr:row>241</xdr:row>
      <xdr:rowOff>53837</xdr:rowOff>
    </xdr:to>
    <xdr:pic>
      <xdr:nvPicPr>
        <xdr:cNvPr id="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9" y="46134130"/>
          <a:ext cx="466725" cy="285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237</xdr:row>
      <xdr:rowOff>157370</xdr:rowOff>
    </xdr:from>
    <xdr:to>
      <xdr:col>2</xdr:col>
      <xdr:colOff>346213</xdr:colOff>
      <xdr:row>239</xdr:row>
      <xdr:rowOff>62120</xdr:rowOff>
    </xdr:to>
    <xdr:pic>
      <xdr:nvPicPr>
        <xdr:cNvPr id="515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3500" y="45761413"/>
          <a:ext cx="304800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256</xdr:row>
      <xdr:rowOff>0</xdr:rowOff>
    </xdr:from>
    <xdr:to>
      <xdr:col>1</xdr:col>
      <xdr:colOff>571500</xdr:colOff>
      <xdr:row>257</xdr:row>
      <xdr:rowOff>28575</xdr:rowOff>
    </xdr:to>
    <xdr:pic>
      <xdr:nvPicPr>
        <xdr:cNvPr id="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30985239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257</xdr:row>
      <xdr:rowOff>180975</xdr:rowOff>
    </xdr:from>
    <xdr:to>
      <xdr:col>2</xdr:col>
      <xdr:colOff>342900</xdr:colOff>
      <xdr:row>259</xdr:row>
      <xdr:rowOff>19050</xdr:rowOff>
    </xdr:to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568" y="31356714"/>
          <a:ext cx="9794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266</xdr:row>
      <xdr:rowOff>0</xdr:rowOff>
    </xdr:from>
    <xdr:to>
      <xdr:col>2</xdr:col>
      <xdr:colOff>457200</xdr:colOff>
      <xdr:row>267</xdr:row>
      <xdr:rowOff>28575</xdr:rowOff>
    </xdr:to>
    <xdr:pic>
      <xdr:nvPicPr>
        <xdr:cNvPr id="29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3668" y="32890239"/>
          <a:ext cx="10556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259</xdr:row>
      <xdr:rowOff>95250</xdr:rowOff>
    </xdr:from>
    <xdr:to>
      <xdr:col>2</xdr:col>
      <xdr:colOff>342900</xdr:colOff>
      <xdr:row>261</xdr:row>
      <xdr:rowOff>85725</xdr:rowOff>
    </xdr:to>
    <xdr:pic>
      <xdr:nvPicPr>
        <xdr:cNvPr id="29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31651989"/>
          <a:ext cx="960369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261</xdr:row>
      <xdr:rowOff>85725</xdr:rowOff>
    </xdr:from>
    <xdr:to>
      <xdr:col>3</xdr:col>
      <xdr:colOff>571500</xdr:colOff>
      <xdr:row>263</xdr:row>
      <xdr:rowOff>123825</xdr:rowOff>
    </xdr:to>
    <xdr:pic>
      <xdr:nvPicPr>
        <xdr:cNvPr id="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568" y="32023464"/>
          <a:ext cx="1854062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241</xdr:row>
      <xdr:rowOff>157370</xdr:rowOff>
    </xdr:from>
    <xdr:to>
      <xdr:col>3</xdr:col>
      <xdr:colOff>673791</xdr:colOff>
      <xdr:row>243</xdr:row>
      <xdr:rowOff>62120</xdr:rowOff>
    </xdr:to>
    <xdr:pic>
      <xdr:nvPicPr>
        <xdr:cNvPr id="5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9" y="46523413"/>
          <a:ext cx="1949312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282</xdr:row>
      <xdr:rowOff>0</xdr:rowOff>
    </xdr:from>
    <xdr:to>
      <xdr:col>2</xdr:col>
      <xdr:colOff>457200</xdr:colOff>
      <xdr:row>283</xdr:row>
      <xdr:rowOff>28575</xdr:rowOff>
    </xdr:to>
    <xdr:pic>
      <xdr:nvPicPr>
        <xdr:cNvPr id="29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3668" y="48080543"/>
          <a:ext cx="10556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275</xdr:row>
      <xdr:rowOff>95250</xdr:rowOff>
    </xdr:from>
    <xdr:to>
      <xdr:col>2</xdr:col>
      <xdr:colOff>342900</xdr:colOff>
      <xdr:row>277</xdr:row>
      <xdr:rowOff>85725</xdr:rowOff>
    </xdr:to>
    <xdr:pic>
      <xdr:nvPicPr>
        <xdr:cNvPr id="29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46842293"/>
          <a:ext cx="960369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277</xdr:row>
      <xdr:rowOff>85725</xdr:rowOff>
    </xdr:from>
    <xdr:to>
      <xdr:col>3</xdr:col>
      <xdr:colOff>571500</xdr:colOff>
      <xdr:row>279</xdr:row>
      <xdr:rowOff>123825</xdr:rowOff>
    </xdr:to>
    <xdr:pic>
      <xdr:nvPicPr>
        <xdr:cNvPr id="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568" y="47213768"/>
          <a:ext cx="1854062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16565</xdr:colOff>
      <xdr:row>272</xdr:row>
      <xdr:rowOff>16565</xdr:rowOff>
    </xdr:from>
    <xdr:to>
      <xdr:col>3</xdr:col>
      <xdr:colOff>0</xdr:colOff>
      <xdr:row>273</xdr:row>
      <xdr:rowOff>35615</xdr:rowOff>
    </xdr:to>
    <xdr:pic>
      <xdr:nvPicPr>
        <xdr:cNvPr id="5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8" y="52304674"/>
          <a:ext cx="1275522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274</xdr:row>
      <xdr:rowOff>0</xdr:rowOff>
    </xdr:from>
    <xdr:to>
      <xdr:col>3</xdr:col>
      <xdr:colOff>0</xdr:colOff>
      <xdr:row>275</xdr:row>
      <xdr:rowOff>38100</xdr:rowOff>
    </xdr:to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2669109"/>
          <a:ext cx="1292087" cy="228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336401</xdr:colOff>
      <xdr:row>226</xdr:row>
      <xdr:rowOff>184448</xdr:rowOff>
    </xdr:from>
    <xdr:to>
      <xdr:col>0</xdr:col>
      <xdr:colOff>600170</xdr:colOff>
      <xdr:row>228</xdr:row>
      <xdr:rowOff>23256</xdr:rowOff>
    </xdr:to>
    <xdr:sp macro="" textlink="">
      <xdr:nvSpPr>
        <xdr:cNvPr id="295" name="TextBox 294"/>
        <xdr:cNvSpPr txBox="1"/>
      </xdr:nvSpPr>
      <xdr:spPr>
        <a:xfrm>
          <a:off x="336401" y="4368470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3</xdr:col>
      <xdr:colOff>271734</xdr:colOff>
      <xdr:row>226</xdr:row>
      <xdr:rowOff>184447</xdr:rowOff>
    </xdr:from>
    <xdr:to>
      <xdr:col>3</xdr:col>
      <xdr:colOff>530087</xdr:colOff>
      <xdr:row>228</xdr:row>
      <xdr:rowOff>23255</xdr:rowOff>
    </xdr:to>
    <xdr:sp macro="" textlink="">
      <xdr:nvSpPr>
        <xdr:cNvPr id="299" name="TextBox 298"/>
        <xdr:cNvSpPr txBox="1"/>
      </xdr:nvSpPr>
      <xdr:spPr>
        <a:xfrm>
          <a:off x="2209864" y="43684708"/>
          <a:ext cx="258353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230</xdr:row>
      <xdr:rowOff>109904</xdr:rowOff>
    </xdr:from>
    <xdr:to>
      <xdr:col>8</xdr:col>
      <xdr:colOff>454270</xdr:colOff>
      <xdr:row>231</xdr:row>
      <xdr:rowOff>139212</xdr:rowOff>
    </xdr:to>
    <xdr:sp macro="" textlink="">
      <xdr:nvSpPr>
        <xdr:cNvPr id="300" name="TextBox 299"/>
        <xdr:cNvSpPr txBox="1"/>
      </xdr:nvSpPr>
      <xdr:spPr>
        <a:xfrm>
          <a:off x="5806110" y="44372165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</xdr:col>
      <xdr:colOff>28575</xdr:colOff>
      <xdr:row>238</xdr:row>
      <xdr:rowOff>0</xdr:rowOff>
    </xdr:from>
    <xdr:to>
      <xdr:col>1</xdr:col>
      <xdr:colOff>571500</xdr:colOff>
      <xdr:row>239</xdr:row>
      <xdr:rowOff>28575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45794543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250</xdr:row>
      <xdr:rowOff>0</xdr:rowOff>
    </xdr:from>
    <xdr:to>
      <xdr:col>2</xdr:col>
      <xdr:colOff>457200</xdr:colOff>
      <xdr:row>251</xdr:row>
      <xdr:rowOff>28575</xdr:rowOff>
    </xdr:to>
    <xdr:pic>
      <xdr:nvPicPr>
        <xdr:cNvPr id="30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3668" y="48080543"/>
          <a:ext cx="10556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243</xdr:row>
      <xdr:rowOff>95250</xdr:rowOff>
    </xdr:from>
    <xdr:to>
      <xdr:col>2</xdr:col>
      <xdr:colOff>342900</xdr:colOff>
      <xdr:row>245</xdr:row>
      <xdr:rowOff>85725</xdr:rowOff>
    </xdr:to>
    <xdr:pic>
      <xdr:nvPicPr>
        <xdr:cNvPr id="3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46842293"/>
          <a:ext cx="960369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245</xdr:row>
      <xdr:rowOff>85725</xdr:rowOff>
    </xdr:from>
    <xdr:to>
      <xdr:col>3</xdr:col>
      <xdr:colOff>571500</xdr:colOff>
      <xdr:row>247</xdr:row>
      <xdr:rowOff>123825</xdr:rowOff>
    </xdr:to>
    <xdr:pic>
      <xdr:nvPicPr>
        <xdr:cNvPr id="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568" y="47213768"/>
          <a:ext cx="1854062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287</xdr:row>
      <xdr:rowOff>114300</xdr:rowOff>
    </xdr:from>
    <xdr:to>
      <xdr:col>2</xdr:col>
      <xdr:colOff>523875</xdr:colOff>
      <xdr:row>289</xdr:row>
      <xdr:rowOff>161925</xdr:rowOff>
    </xdr:to>
    <xdr:pic>
      <xdr:nvPicPr>
        <xdr:cNvPr id="30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5093" y="55309604"/>
          <a:ext cx="1150869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290</xdr:row>
      <xdr:rowOff>28575</xdr:rowOff>
    </xdr:from>
    <xdr:to>
      <xdr:col>1</xdr:col>
      <xdr:colOff>342900</xdr:colOff>
      <xdr:row>291</xdr:row>
      <xdr:rowOff>47625</xdr:rowOff>
    </xdr:to>
    <xdr:pic>
      <xdr:nvPicPr>
        <xdr:cNvPr id="30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5093" y="55795379"/>
          <a:ext cx="323850" cy="217833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291</xdr:row>
      <xdr:rowOff>104775</xdr:rowOff>
    </xdr:from>
    <xdr:to>
      <xdr:col>2</xdr:col>
      <xdr:colOff>114300</xdr:colOff>
      <xdr:row>293</xdr:row>
      <xdr:rowOff>133350</xdr:rowOff>
    </xdr:to>
    <xdr:pic>
      <xdr:nvPicPr>
        <xdr:cNvPr id="30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6070362"/>
          <a:ext cx="760344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292</xdr:row>
      <xdr:rowOff>19050</xdr:rowOff>
    </xdr:from>
    <xdr:to>
      <xdr:col>3</xdr:col>
      <xdr:colOff>304800</xdr:colOff>
      <xdr:row>293</xdr:row>
      <xdr:rowOff>38100</xdr:rowOff>
    </xdr:to>
    <xdr:pic>
      <xdr:nvPicPr>
        <xdr:cNvPr id="30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66705" y="56175137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294</xdr:row>
      <xdr:rowOff>0</xdr:rowOff>
    </xdr:from>
    <xdr:to>
      <xdr:col>6</xdr:col>
      <xdr:colOff>276225</xdr:colOff>
      <xdr:row>295</xdr:row>
      <xdr:rowOff>9525</xdr:rowOff>
    </xdr:to>
    <xdr:pic>
      <xdr:nvPicPr>
        <xdr:cNvPr id="331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3522" y="56537087"/>
          <a:ext cx="276225" cy="208308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41413</xdr:colOff>
      <xdr:row>222</xdr:row>
      <xdr:rowOff>114622</xdr:rowOff>
    </xdr:from>
    <xdr:to>
      <xdr:col>9</xdr:col>
      <xdr:colOff>483041</xdr:colOff>
      <xdr:row>233</xdr:row>
      <xdr:rowOff>180201</xdr:rowOff>
    </xdr:to>
    <xdr:grpSp>
      <xdr:nvGrpSpPr>
        <xdr:cNvPr id="333" name="Группа 332"/>
        <xdr:cNvGrpSpPr/>
      </xdr:nvGrpSpPr>
      <xdr:grpSpPr>
        <a:xfrm>
          <a:off x="38365" y="41137654"/>
          <a:ext cx="6647356" cy="2077259"/>
          <a:chOff x="306457" y="43640045"/>
          <a:chExt cx="8944442" cy="2476192"/>
        </a:xfrm>
      </xdr:grpSpPr>
      <xdr:sp macro="" textlink="">
        <xdr:nvSpPr>
          <xdr:cNvPr id="335" name="Прямоугольник 334"/>
          <xdr:cNvSpPr/>
        </xdr:nvSpPr>
        <xdr:spPr>
          <a:xfrm>
            <a:off x="4116868" y="44929011"/>
            <a:ext cx="545410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37" name="Прямая соединительная линия 336"/>
          <xdr:cNvCxnSpPr>
            <a:stCxn id="335" idx="3"/>
          </xdr:cNvCxnSpPr>
        </xdr:nvCxnSpPr>
        <xdr:spPr>
          <a:xfrm>
            <a:off x="4662279" y="45014736"/>
            <a:ext cx="1490528" cy="207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38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066763" y="44494174"/>
            <a:ext cx="670891" cy="371475"/>
          </a:xfrm>
          <a:prstGeom prst="rect">
            <a:avLst/>
          </a:prstGeom>
          <a:noFill/>
        </xdr:spPr>
      </xdr:pic>
      <xdr:cxnSp macro="">
        <xdr:nvCxnSpPr>
          <xdr:cNvPr id="339" name="Прямая со стрелкой 338"/>
          <xdr:cNvCxnSpPr/>
        </xdr:nvCxnSpPr>
        <xdr:spPr>
          <a:xfrm>
            <a:off x="5154049" y="44941435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40" name="Группа 260"/>
          <xdr:cNvGrpSpPr/>
        </xdr:nvGrpSpPr>
        <xdr:grpSpPr>
          <a:xfrm>
            <a:off x="306457" y="44502457"/>
            <a:ext cx="4217090" cy="1236593"/>
            <a:chOff x="306457" y="44502457"/>
            <a:chExt cx="4217090" cy="1236593"/>
          </a:xfrm>
        </xdr:grpSpPr>
        <xdr:cxnSp macro="">
          <xdr:nvCxnSpPr>
            <xdr:cNvPr id="367" name="Прямая соединительная линия 366"/>
            <xdr:cNvCxnSpPr/>
          </xdr:nvCxnSpPr>
          <xdr:spPr>
            <a:xfrm>
              <a:off x="865118" y="45024261"/>
              <a:ext cx="1082537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68" name="Прямоугольник 367"/>
            <xdr:cNvSpPr/>
          </xdr:nvSpPr>
          <xdr:spPr>
            <a:xfrm>
              <a:off x="1957180" y="44929011"/>
              <a:ext cx="447675" cy="1714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cxnSp macro="">
          <xdr:nvCxnSpPr>
            <xdr:cNvPr id="369" name="Прямая соединительная линия 368"/>
            <xdr:cNvCxnSpPr>
              <a:stCxn id="368" idx="3"/>
              <a:endCxn id="335" idx="1"/>
            </xdr:cNvCxnSpPr>
          </xdr:nvCxnSpPr>
          <xdr:spPr>
            <a:xfrm>
              <a:off x="2404855" y="45014736"/>
              <a:ext cx="1712013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" name="Прямая соединительная линия 369"/>
            <xdr:cNvCxnSpPr/>
          </xdr:nvCxnSpPr>
          <xdr:spPr>
            <a:xfrm rot="5400000">
              <a:off x="711527" y="45024261"/>
              <a:ext cx="297656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371" name="Группа 206"/>
            <xdr:cNvGrpSpPr/>
          </xdr:nvGrpSpPr>
          <xdr:grpSpPr>
            <a:xfrm>
              <a:off x="875956" y="45030837"/>
              <a:ext cx="157654" cy="407563"/>
              <a:chOff x="874682" y="2102069"/>
              <a:chExt cx="157656" cy="552587"/>
            </a:xfrm>
          </xdr:grpSpPr>
          <xdr:cxnSp macro="">
            <xdr:nvCxnSpPr>
              <xdr:cNvPr id="392" name="Прямая соединительная линия 391"/>
              <xdr:cNvCxnSpPr/>
            </xdr:nvCxnSpPr>
            <xdr:spPr>
              <a:xfrm>
                <a:off x="874682" y="2102069"/>
                <a:ext cx="157656" cy="6569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93" name="Прямая со стрелкой 392"/>
              <xdr:cNvCxnSpPr/>
            </xdr:nvCxnSpPr>
            <xdr:spPr>
              <a:xfrm rot="5400000">
                <a:off x="779433" y="2407526"/>
                <a:ext cx="492672" cy="1588"/>
              </a:xfrm>
              <a:prstGeom prst="straightConnector1">
                <a:avLst/>
              </a:prstGeom>
              <a:ln>
                <a:tailEnd type="stealt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372" name="Группа 209"/>
            <xdr:cNvGrpSpPr/>
          </xdr:nvGrpSpPr>
          <xdr:grpSpPr>
            <a:xfrm>
              <a:off x="3079129" y="44876227"/>
              <a:ext cx="587412" cy="562173"/>
              <a:chOff x="3061627" y="1947466"/>
              <a:chExt cx="330550" cy="562173"/>
            </a:xfrm>
          </xdr:grpSpPr>
          <xdr:cxnSp macro="">
            <xdr:nvCxnSpPr>
              <xdr:cNvPr id="385" name="Прямая соединительная линия 384"/>
              <xdr:cNvCxnSpPr/>
            </xdr:nvCxnSpPr>
            <xdr:spPr>
              <a:xfrm rot="5400000">
                <a:off x="3074619" y="2095500"/>
                <a:ext cx="297656" cy="1588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386" name="Группа 51"/>
              <xdr:cNvGrpSpPr/>
            </xdr:nvGrpSpPr>
            <xdr:grpSpPr>
              <a:xfrm>
                <a:off x="3234372" y="2102076"/>
                <a:ext cx="157805" cy="407563"/>
                <a:chOff x="868756" y="2102069"/>
                <a:chExt cx="157807" cy="552587"/>
              </a:xfrm>
            </xdr:grpSpPr>
            <xdr:cxnSp macro="">
              <xdr:nvCxnSpPr>
                <xdr:cNvPr id="390" name="Прямая соединительная линия 389"/>
                <xdr:cNvCxnSpPr/>
              </xdr:nvCxnSpPr>
              <xdr:spPr>
                <a:xfrm>
                  <a:off x="868756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91" name="Прямая со стрелкой 390"/>
                <xdr:cNvCxnSpPr/>
              </xdr:nvCxnSpPr>
              <xdr:spPr>
                <a:xfrm rot="5400000">
                  <a:off x="779433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387" name="Группа 57"/>
              <xdr:cNvGrpSpPr/>
            </xdr:nvGrpSpPr>
            <xdr:grpSpPr>
              <a:xfrm>
                <a:off x="3061627" y="2102076"/>
                <a:ext cx="159206" cy="407563"/>
                <a:chOff x="3056553" y="2102069"/>
                <a:chExt cx="159208" cy="552587"/>
              </a:xfrm>
            </xdr:grpSpPr>
            <xdr:cxnSp macro="">
              <xdr:nvCxnSpPr>
                <xdr:cNvPr id="388" name="Прямая соединительная линия 387"/>
                <xdr:cNvCxnSpPr/>
              </xdr:nvCxnSpPr>
              <xdr:spPr>
                <a:xfrm flipH="1">
                  <a:off x="3058105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89" name="Прямая со стрелкой 388"/>
                <xdr:cNvCxnSpPr/>
              </xdr:nvCxnSpPr>
              <xdr:spPr>
                <a:xfrm rot="16200000" flipH="1">
                  <a:off x="2811011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373" name="Прямая со стрелкой 372"/>
            <xdr:cNvCxnSpPr/>
          </xdr:nvCxnSpPr>
          <xdr:spPr>
            <a:xfrm>
              <a:off x="306457" y="45024261"/>
              <a:ext cx="54665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374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896717" y="44502457"/>
              <a:ext cx="581025" cy="371475"/>
            </a:xfrm>
            <a:prstGeom prst="rect">
              <a:avLst/>
            </a:prstGeom>
            <a:noFill/>
          </xdr:spPr>
        </xdr:pic>
        <xdr:pic>
          <xdr:nvPicPr>
            <xdr:cNvPr id="375" name="Picture 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578087" y="45546067"/>
              <a:ext cx="945460" cy="190500"/>
            </a:xfrm>
            <a:prstGeom prst="rect">
              <a:avLst/>
            </a:prstGeom>
            <a:noFill/>
          </xdr:spPr>
        </xdr:pic>
        <xdr:pic>
          <xdr:nvPicPr>
            <xdr:cNvPr id="376" name="Picture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828260" y="45529499"/>
              <a:ext cx="428625" cy="209550"/>
            </a:xfrm>
            <a:prstGeom prst="rect">
              <a:avLst/>
            </a:prstGeom>
            <a:noFill/>
          </xdr:spPr>
        </xdr:pic>
        <xdr:pic>
          <xdr:nvPicPr>
            <xdr:cNvPr id="377" name="Picture 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782957" y="45529500"/>
              <a:ext cx="428625" cy="209550"/>
            </a:xfrm>
            <a:prstGeom prst="rect">
              <a:avLst/>
            </a:prstGeom>
            <a:noFill/>
          </xdr:spPr>
        </xdr:pic>
        <xdr:cxnSp macro="">
          <xdr:nvCxnSpPr>
            <xdr:cNvPr id="378" name="Прямая со стрелкой 377"/>
            <xdr:cNvCxnSpPr/>
          </xdr:nvCxnSpPr>
          <xdr:spPr>
            <a:xfrm>
              <a:off x="1151283" y="44941435"/>
              <a:ext cx="513521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9" name="Прямая со стрелкой 378"/>
            <xdr:cNvCxnSpPr/>
          </xdr:nvCxnSpPr>
          <xdr:spPr>
            <a:xfrm>
              <a:off x="2509631" y="44941435"/>
              <a:ext cx="604630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380" name="Picture 7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496956" y="44833761"/>
              <a:ext cx="180975" cy="209550"/>
            </a:xfrm>
            <a:prstGeom prst="rect">
              <a:avLst/>
            </a:prstGeom>
            <a:noFill/>
          </xdr:spPr>
        </xdr:pic>
        <xdr:pic>
          <xdr:nvPicPr>
            <xdr:cNvPr id="381" name="Picture 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333500" y="44734369"/>
              <a:ext cx="161925" cy="209550"/>
            </a:xfrm>
            <a:prstGeom prst="rect">
              <a:avLst/>
            </a:prstGeom>
            <a:noFill/>
          </xdr:spPr>
        </xdr:pic>
        <xdr:pic>
          <xdr:nvPicPr>
            <xdr:cNvPr id="382" name="Picture 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816086" y="44734369"/>
              <a:ext cx="152400" cy="209550"/>
            </a:xfrm>
            <a:prstGeom prst="rect">
              <a:avLst/>
            </a:prstGeom>
            <a:noFill/>
          </xdr:spPr>
        </xdr:pic>
        <xdr:pic>
          <xdr:nvPicPr>
            <xdr:cNvPr id="383" name="Picture 1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743739" y="44750935"/>
              <a:ext cx="161925" cy="209550"/>
            </a:xfrm>
            <a:prstGeom prst="rect">
              <a:avLst/>
            </a:prstGeom>
            <a:noFill/>
          </xdr:spPr>
        </xdr:pic>
        <xdr:cxnSp macro="">
          <xdr:nvCxnSpPr>
            <xdr:cNvPr id="384" name="Прямая со стрелкой 383"/>
            <xdr:cNvCxnSpPr/>
          </xdr:nvCxnSpPr>
          <xdr:spPr>
            <a:xfrm>
              <a:off x="3573354" y="44941435"/>
              <a:ext cx="514468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41" name="Прямоугольник 340"/>
          <xdr:cNvSpPr/>
        </xdr:nvSpPr>
        <xdr:spPr>
          <a:xfrm>
            <a:off x="6614577" y="4407488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42" name="Прямая соединительная линия 341"/>
          <xdr:cNvCxnSpPr>
            <a:stCxn id="341" idx="3"/>
            <a:endCxn id="345" idx="2"/>
          </xdr:cNvCxnSpPr>
        </xdr:nvCxnSpPr>
        <xdr:spPr>
          <a:xfrm flipV="1">
            <a:off x="7159986" y="44157078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5" name="Овал 344"/>
          <xdr:cNvSpPr/>
        </xdr:nvSpPr>
        <xdr:spPr>
          <a:xfrm>
            <a:off x="7719890" y="43982100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46" name="Овал 345"/>
          <xdr:cNvSpPr/>
        </xdr:nvSpPr>
        <xdr:spPr>
          <a:xfrm>
            <a:off x="7986490" y="43982100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47" name="Прямая со стрелкой 346"/>
          <xdr:cNvCxnSpPr/>
        </xdr:nvCxnSpPr>
        <xdr:spPr>
          <a:xfrm>
            <a:off x="8384367" y="44170132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Прямая соединительная линия 347"/>
          <xdr:cNvCxnSpPr/>
        </xdr:nvCxnSpPr>
        <xdr:spPr>
          <a:xfrm rot="5400000">
            <a:off x="8539172" y="4417013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49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564471" y="43640045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350" name="Овал 349"/>
          <xdr:cNvSpPr/>
        </xdr:nvSpPr>
        <xdr:spPr>
          <a:xfrm>
            <a:off x="7450848" y="44135082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51" name="Овал 350"/>
          <xdr:cNvSpPr/>
        </xdr:nvSpPr>
        <xdr:spPr>
          <a:xfrm>
            <a:off x="8664954" y="44150444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52" name="Прямая со стрелкой 351"/>
          <xdr:cNvCxnSpPr/>
        </xdr:nvCxnSpPr>
        <xdr:spPr>
          <a:xfrm>
            <a:off x="7202230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53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16195" y="44054175"/>
            <a:ext cx="190499" cy="219075"/>
          </a:xfrm>
          <a:prstGeom prst="rect">
            <a:avLst/>
          </a:prstGeom>
          <a:noFill/>
        </xdr:spPr>
      </xdr:pic>
      <xdr:sp macro="" textlink="">
        <xdr:nvSpPr>
          <xdr:cNvPr id="354" name="Прямоугольник 353"/>
          <xdr:cNvSpPr/>
        </xdr:nvSpPr>
        <xdr:spPr>
          <a:xfrm>
            <a:off x="6658784" y="4585906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55" name="Прямая соединительная линия 354"/>
          <xdr:cNvCxnSpPr>
            <a:stCxn id="354" idx="3"/>
            <a:endCxn id="356" idx="2"/>
          </xdr:cNvCxnSpPr>
        </xdr:nvCxnSpPr>
        <xdr:spPr>
          <a:xfrm flipV="1">
            <a:off x="7204192" y="45941259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56" name="Овал 355"/>
          <xdr:cNvSpPr/>
        </xdr:nvSpPr>
        <xdr:spPr>
          <a:xfrm>
            <a:off x="7764097" y="45766281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57" name="Овал 356"/>
          <xdr:cNvSpPr/>
        </xdr:nvSpPr>
        <xdr:spPr>
          <a:xfrm>
            <a:off x="8030696" y="45766281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58" name="Прямая со стрелкой 357"/>
          <xdr:cNvCxnSpPr/>
        </xdr:nvCxnSpPr>
        <xdr:spPr>
          <a:xfrm>
            <a:off x="8428573" y="45954313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" name="Прямая соединительная линия 358"/>
          <xdr:cNvCxnSpPr/>
        </xdr:nvCxnSpPr>
        <xdr:spPr>
          <a:xfrm rot="5400000">
            <a:off x="8583378" y="4595431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60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608677" y="45424226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361" name="Овал 360"/>
          <xdr:cNvSpPr/>
        </xdr:nvSpPr>
        <xdr:spPr>
          <a:xfrm>
            <a:off x="7495054" y="45919263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62" name="Овал 361"/>
          <xdr:cNvSpPr/>
        </xdr:nvSpPr>
        <xdr:spPr>
          <a:xfrm>
            <a:off x="8709160" y="45934625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63" name="Прямая со стрелкой 362"/>
          <xdr:cNvCxnSpPr/>
        </xdr:nvCxnSpPr>
        <xdr:spPr>
          <a:xfrm>
            <a:off x="7246436" y="46013840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64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60400" y="45838356"/>
            <a:ext cx="190499" cy="219075"/>
          </a:xfrm>
          <a:prstGeom prst="rect">
            <a:avLst/>
          </a:prstGeom>
          <a:noFill/>
        </xdr:spPr>
      </xdr:pic>
      <xdr:cxnSp macro="">
        <xdr:nvCxnSpPr>
          <xdr:cNvPr id="365" name="Прямая со стрелкой 364"/>
          <xdr:cNvCxnSpPr/>
        </xdr:nvCxnSpPr>
        <xdr:spPr>
          <a:xfrm>
            <a:off x="5876014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6" name="Прямая со стрелкой 365"/>
          <xdr:cNvCxnSpPr/>
        </xdr:nvCxnSpPr>
        <xdr:spPr>
          <a:xfrm>
            <a:off x="5876014" y="46023331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</xdr:colOff>
      <xdr:row>300</xdr:row>
      <xdr:rowOff>104775</xdr:rowOff>
    </xdr:from>
    <xdr:to>
      <xdr:col>2</xdr:col>
      <xdr:colOff>428625</xdr:colOff>
      <xdr:row>302</xdr:row>
      <xdr:rowOff>152400</xdr:rowOff>
    </xdr:to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5093" y="57801427"/>
          <a:ext cx="1055619" cy="4286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308</xdr:row>
      <xdr:rowOff>180975</xdr:rowOff>
    </xdr:from>
    <xdr:to>
      <xdr:col>4</xdr:col>
      <xdr:colOff>476250</xdr:colOff>
      <xdr:row>310</xdr:row>
      <xdr:rowOff>28575</xdr:rowOff>
    </xdr:to>
    <xdr:pic>
      <xdr:nvPicPr>
        <xdr:cNvPr id="39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808633" y="59409910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310</xdr:row>
      <xdr:rowOff>0</xdr:rowOff>
    </xdr:from>
    <xdr:to>
      <xdr:col>4</xdr:col>
      <xdr:colOff>476250</xdr:colOff>
      <xdr:row>311</xdr:row>
      <xdr:rowOff>38100</xdr:rowOff>
    </xdr:to>
    <xdr:pic>
      <xdr:nvPicPr>
        <xdr:cNvPr id="39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799108" y="59609935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311</xdr:row>
      <xdr:rowOff>0</xdr:rowOff>
    </xdr:from>
    <xdr:to>
      <xdr:col>4</xdr:col>
      <xdr:colOff>476250</xdr:colOff>
      <xdr:row>312</xdr:row>
      <xdr:rowOff>38100</xdr:rowOff>
    </xdr:to>
    <xdr:pic>
      <xdr:nvPicPr>
        <xdr:cNvPr id="39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799108" y="59800435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311</xdr:row>
      <xdr:rowOff>5576</xdr:rowOff>
    </xdr:from>
    <xdr:to>
      <xdr:col>6</xdr:col>
      <xdr:colOff>95251</xdr:colOff>
      <xdr:row>312</xdr:row>
      <xdr:rowOff>38100</xdr:rowOff>
    </xdr:to>
    <xdr:pic>
      <xdr:nvPicPr>
        <xdr:cNvPr id="39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5288" y="59806011"/>
          <a:ext cx="383485" cy="223024"/>
        </a:xfrm>
        <a:prstGeom prst="rect">
          <a:avLst/>
        </a:prstGeom>
        <a:noFill/>
      </xdr:spPr>
    </xdr:pic>
    <xdr:clientData/>
  </xdr:twoCellAnchor>
  <xdr:twoCellAnchor>
    <xdr:from>
      <xdr:col>3</xdr:col>
      <xdr:colOff>266700</xdr:colOff>
      <xdr:row>314</xdr:row>
      <xdr:rowOff>95250</xdr:rowOff>
    </xdr:from>
    <xdr:to>
      <xdr:col>4</xdr:col>
      <xdr:colOff>476250</xdr:colOff>
      <xdr:row>316</xdr:row>
      <xdr:rowOff>85725</xdr:rowOff>
    </xdr:to>
    <xdr:pic>
      <xdr:nvPicPr>
        <xdr:cNvPr id="39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04830" y="60467185"/>
          <a:ext cx="946703" cy="3714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295275</xdr:colOff>
      <xdr:row>312</xdr:row>
      <xdr:rowOff>104775</xdr:rowOff>
    </xdr:from>
    <xdr:to>
      <xdr:col>4</xdr:col>
      <xdr:colOff>476250</xdr:colOff>
      <xdr:row>314</xdr:row>
      <xdr:rowOff>95250</xdr:rowOff>
    </xdr:to>
    <xdr:pic>
      <xdr:nvPicPr>
        <xdr:cNvPr id="40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33405" y="60095710"/>
          <a:ext cx="918128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533400</xdr:colOff>
      <xdr:row>317</xdr:row>
      <xdr:rowOff>9525</xdr:rowOff>
    </xdr:from>
    <xdr:to>
      <xdr:col>4</xdr:col>
      <xdr:colOff>466725</xdr:colOff>
      <xdr:row>318</xdr:row>
      <xdr:rowOff>38100</xdr:rowOff>
    </xdr:to>
    <xdr:pic>
      <xdr:nvPicPr>
        <xdr:cNvPr id="40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25487" y="60952960"/>
          <a:ext cx="1316521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322</xdr:row>
      <xdr:rowOff>19050</xdr:rowOff>
    </xdr:from>
    <xdr:to>
      <xdr:col>2</xdr:col>
      <xdr:colOff>638175</xdr:colOff>
      <xdr:row>323</xdr:row>
      <xdr:rowOff>66675</xdr:rowOff>
    </xdr:to>
    <xdr:pic>
      <xdr:nvPicPr>
        <xdr:cNvPr id="40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61914985"/>
          <a:ext cx="1358762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2</xdr:col>
      <xdr:colOff>638175</xdr:colOff>
      <xdr:row>327</xdr:row>
      <xdr:rowOff>28575</xdr:rowOff>
    </xdr:to>
    <xdr:pic>
      <xdr:nvPicPr>
        <xdr:cNvPr id="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62657935"/>
          <a:ext cx="12842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2</xdr:col>
      <xdr:colOff>428625</xdr:colOff>
      <xdr:row>329</xdr:row>
      <xdr:rowOff>28575</xdr:rowOff>
    </xdr:to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63038935"/>
          <a:ext cx="107466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329</xdr:row>
      <xdr:rowOff>85725</xdr:rowOff>
    </xdr:from>
    <xdr:to>
      <xdr:col>3</xdr:col>
      <xdr:colOff>723900</xdr:colOff>
      <xdr:row>331</xdr:row>
      <xdr:rowOff>133350</xdr:rowOff>
    </xdr:to>
    <xdr:pic>
      <xdr:nvPicPr>
        <xdr:cNvPr id="40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63315160"/>
          <a:ext cx="2015987" cy="4286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123862</xdr:colOff>
      <xdr:row>224</xdr:row>
      <xdr:rowOff>187938</xdr:rowOff>
    </xdr:from>
    <xdr:to>
      <xdr:col>6</xdr:col>
      <xdr:colOff>436759</xdr:colOff>
      <xdr:row>224</xdr:row>
      <xdr:rowOff>190499</xdr:rowOff>
    </xdr:to>
    <xdr:cxnSp macro="">
      <xdr:nvCxnSpPr>
        <xdr:cNvPr id="406" name="Прямая соединительная линия 405"/>
        <xdr:cNvCxnSpPr/>
      </xdr:nvCxnSpPr>
      <xdr:spPr>
        <a:xfrm rot="10800000" flipV="1">
          <a:off x="4447384" y="43307199"/>
          <a:ext cx="312897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106880</xdr:colOff>
      <xdr:row>224</xdr:row>
      <xdr:rowOff>186586</xdr:rowOff>
    </xdr:from>
    <xdr:to>
      <xdr:col>6</xdr:col>
      <xdr:colOff>108468</xdr:colOff>
      <xdr:row>233</xdr:row>
      <xdr:rowOff>37500</xdr:rowOff>
    </xdr:to>
    <xdr:cxnSp macro="">
      <xdr:nvCxnSpPr>
        <xdr:cNvPr id="407" name="Прямая соединительная линия 406"/>
        <xdr:cNvCxnSpPr/>
      </xdr:nvCxnSpPr>
      <xdr:spPr>
        <a:xfrm rot="5400000">
          <a:off x="3648489" y="44087760"/>
          <a:ext cx="156541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107674</xdr:colOff>
      <xdr:row>233</xdr:row>
      <xdr:rowOff>30569</xdr:rowOff>
    </xdr:from>
    <xdr:to>
      <xdr:col>6</xdr:col>
      <xdr:colOff>478548</xdr:colOff>
      <xdr:row>233</xdr:row>
      <xdr:rowOff>33130</xdr:rowOff>
    </xdr:to>
    <xdr:cxnSp macro="">
      <xdr:nvCxnSpPr>
        <xdr:cNvPr id="408" name="Прямая соединительная линия 407"/>
        <xdr:cNvCxnSpPr>
          <a:endCxn id="354" idx="1"/>
        </xdr:cNvCxnSpPr>
      </xdr:nvCxnSpPr>
      <xdr:spPr>
        <a:xfrm flipV="1">
          <a:off x="4431196" y="44864330"/>
          <a:ext cx="370874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169229</xdr:colOff>
      <xdr:row>227</xdr:row>
      <xdr:rowOff>115956</xdr:rowOff>
    </xdr:from>
    <xdr:to>
      <xdr:col>5</xdr:col>
      <xdr:colOff>403854</xdr:colOff>
      <xdr:row>228</xdr:row>
      <xdr:rowOff>101876</xdr:rowOff>
    </xdr:to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47316" y="43806717"/>
          <a:ext cx="234625" cy="17642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704022</xdr:colOff>
      <xdr:row>223</xdr:row>
      <xdr:rowOff>98799</xdr:rowOff>
    </xdr:from>
    <xdr:to>
      <xdr:col>6</xdr:col>
      <xdr:colOff>183873</xdr:colOff>
      <xdr:row>224</xdr:row>
      <xdr:rowOff>85309</xdr:rowOff>
    </xdr:to>
    <xdr:pic>
      <xdr:nvPicPr>
        <xdr:cNvPr id="41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2109" y="43027560"/>
          <a:ext cx="225286" cy="17701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704021</xdr:colOff>
      <xdr:row>233</xdr:row>
      <xdr:rowOff>146327</xdr:rowOff>
    </xdr:from>
    <xdr:to>
      <xdr:col>6</xdr:col>
      <xdr:colOff>202923</xdr:colOff>
      <xdr:row>234</xdr:row>
      <xdr:rowOff>135007</xdr:rowOff>
    </xdr:to>
    <xdr:pic>
      <xdr:nvPicPr>
        <xdr:cNvPr id="41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2108" y="44980088"/>
          <a:ext cx="244337" cy="17918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239</xdr:row>
      <xdr:rowOff>149087</xdr:rowOff>
    </xdr:from>
    <xdr:to>
      <xdr:col>1</xdr:col>
      <xdr:colOff>483291</xdr:colOff>
      <xdr:row>241</xdr:row>
      <xdr:rowOff>53837</xdr:rowOff>
    </xdr:to>
    <xdr:pic>
      <xdr:nvPicPr>
        <xdr:cNvPr id="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9" y="46134130"/>
          <a:ext cx="466725" cy="285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237</xdr:row>
      <xdr:rowOff>157370</xdr:rowOff>
    </xdr:from>
    <xdr:to>
      <xdr:col>2</xdr:col>
      <xdr:colOff>346213</xdr:colOff>
      <xdr:row>239</xdr:row>
      <xdr:rowOff>62120</xdr:rowOff>
    </xdr:to>
    <xdr:pic>
      <xdr:nvPicPr>
        <xdr:cNvPr id="41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3500" y="45761413"/>
          <a:ext cx="304800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256</xdr:row>
      <xdr:rowOff>0</xdr:rowOff>
    </xdr:from>
    <xdr:to>
      <xdr:col>1</xdr:col>
      <xdr:colOff>571500</xdr:colOff>
      <xdr:row>257</xdr:row>
      <xdr:rowOff>28575</xdr:rowOff>
    </xdr:to>
    <xdr:pic>
      <xdr:nvPicPr>
        <xdr:cNvPr id="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49231826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257</xdr:row>
      <xdr:rowOff>180975</xdr:rowOff>
    </xdr:from>
    <xdr:to>
      <xdr:col>2</xdr:col>
      <xdr:colOff>342900</xdr:colOff>
      <xdr:row>259</xdr:row>
      <xdr:rowOff>19050</xdr:rowOff>
    </xdr:to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568" y="49603301"/>
          <a:ext cx="9794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266</xdr:row>
      <xdr:rowOff>0</xdr:rowOff>
    </xdr:from>
    <xdr:to>
      <xdr:col>2</xdr:col>
      <xdr:colOff>457200</xdr:colOff>
      <xdr:row>267</xdr:row>
      <xdr:rowOff>28575</xdr:rowOff>
    </xdr:to>
    <xdr:pic>
      <xdr:nvPicPr>
        <xdr:cNvPr id="4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3668" y="51136826"/>
          <a:ext cx="10556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259</xdr:row>
      <xdr:rowOff>95250</xdr:rowOff>
    </xdr:from>
    <xdr:to>
      <xdr:col>2</xdr:col>
      <xdr:colOff>342900</xdr:colOff>
      <xdr:row>261</xdr:row>
      <xdr:rowOff>85725</xdr:rowOff>
    </xdr:to>
    <xdr:pic>
      <xdr:nvPicPr>
        <xdr:cNvPr id="41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49898576"/>
          <a:ext cx="960369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261</xdr:row>
      <xdr:rowOff>85725</xdr:rowOff>
    </xdr:from>
    <xdr:to>
      <xdr:col>3</xdr:col>
      <xdr:colOff>571500</xdr:colOff>
      <xdr:row>263</xdr:row>
      <xdr:rowOff>123825</xdr:rowOff>
    </xdr:to>
    <xdr:pic>
      <xdr:nvPicPr>
        <xdr:cNvPr id="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568" y="50270051"/>
          <a:ext cx="1854062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241</xdr:row>
      <xdr:rowOff>157370</xdr:rowOff>
    </xdr:from>
    <xdr:to>
      <xdr:col>3</xdr:col>
      <xdr:colOff>673791</xdr:colOff>
      <xdr:row>243</xdr:row>
      <xdr:rowOff>62120</xdr:rowOff>
    </xdr:to>
    <xdr:pic>
      <xdr:nvPicPr>
        <xdr:cNvPr id="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9" y="46523413"/>
          <a:ext cx="1949312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282</xdr:row>
      <xdr:rowOff>0</xdr:rowOff>
    </xdr:from>
    <xdr:to>
      <xdr:col>2</xdr:col>
      <xdr:colOff>457200</xdr:colOff>
      <xdr:row>283</xdr:row>
      <xdr:rowOff>28575</xdr:rowOff>
    </xdr:to>
    <xdr:pic>
      <xdr:nvPicPr>
        <xdr:cNvPr id="42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3668" y="54193109"/>
          <a:ext cx="105561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275</xdr:row>
      <xdr:rowOff>95250</xdr:rowOff>
    </xdr:from>
    <xdr:to>
      <xdr:col>2</xdr:col>
      <xdr:colOff>342900</xdr:colOff>
      <xdr:row>277</xdr:row>
      <xdr:rowOff>85725</xdr:rowOff>
    </xdr:to>
    <xdr:pic>
      <xdr:nvPicPr>
        <xdr:cNvPr id="42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4618" y="52954859"/>
          <a:ext cx="960369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277</xdr:row>
      <xdr:rowOff>85725</xdr:rowOff>
    </xdr:from>
    <xdr:to>
      <xdr:col>3</xdr:col>
      <xdr:colOff>571500</xdr:colOff>
      <xdr:row>279</xdr:row>
      <xdr:rowOff>123825</xdr:rowOff>
    </xdr:to>
    <xdr:pic>
      <xdr:nvPicPr>
        <xdr:cNvPr id="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568" y="53326334"/>
          <a:ext cx="1854062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16565</xdr:colOff>
      <xdr:row>272</xdr:row>
      <xdr:rowOff>16565</xdr:rowOff>
    </xdr:from>
    <xdr:to>
      <xdr:col>3</xdr:col>
      <xdr:colOff>0</xdr:colOff>
      <xdr:row>273</xdr:row>
      <xdr:rowOff>35615</xdr:rowOff>
    </xdr:to>
    <xdr:pic>
      <xdr:nvPicPr>
        <xdr:cNvPr id="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8" y="52304674"/>
          <a:ext cx="1275522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274</xdr:row>
      <xdr:rowOff>0</xdr:rowOff>
    </xdr:from>
    <xdr:to>
      <xdr:col>3</xdr:col>
      <xdr:colOff>0</xdr:colOff>
      <xdr:row>275</xdr:row>
      <xdr:rowOff>38100</xdr:rowOff>
    </xdr:to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2669109"/>
          <a:ext cx="1292087" cy="2286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455544</xdr:colOff>
      <xdr:row>97</xdr:row>
      <xdr:rowOff>165653</xdr:rowOff>
    </xdr:from>
    <xdr:to>
      <xdr:col>7</xdr:col>
      <xdr:colOff>8283</xdr:colOff>
      <xdr:row>99</xdr:row>
      <xdr:rowOff>24849</xdr:rowOff>
    </xdr:to>
    <xdr:sp macro="" textlink="">
      <xdr:nvSpPr>
        <xdr:cNvPr id="425" name="TextBox 424"/>
        <xdr:cNvSpPr txBox="1"/>
      </xdr:nvSpPr>
      <xdr:spPr>
        <a:xfrm>
          <a:off x="4779066" y="18826370"/>
          <a:ext cx="198782" cy="240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  <xdr:twoCellAnchor>
    <xdr:from>
      <xdr:col>6</xdr:col>
      <xdr:colOff>455543</xdr:colOff>
      <xdr:row>170</xdr:row>
      <xdr:rowOff>165652</xdr:rowOff>
    </xdr:from>
    <xdr:to>
      <xdr:col>7</xdr:col>
      <xdr:colOff>8282</xdr:colOff>
      <xdr:row>172</xdr:row>
      <xdr:rowOff>24848</xdr:rowOff>
    </xdr:to>
    <xdr:sp macro="" textlink="">
      <xdr:nvSpPr>
        <xdr:cNvPr id="426" name="TextBox 425"/>
        <xdr:cNvSpPr txBox="1"/>
      </xdr:nvSpPr>
      <xdr:spPr>
        <a:xfrm>
          <a:off x="4779065" y="32865391"/>
          <a:ext cx="198782" cy="240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  <xdr:twoCellAnchor>
    <xdr:from>
      <xdr:col>6</xdr:col>
      <xdr:colOff>405848</xdr:colOff>
      <xdr:row>249</xdr:row>
      <xdr:rowOff>165652</xdr:rowOff>
    </xdr:from>
    <xdr:to>
      <xdr:col>6</xdr:col>
      <xdr:colOff>604630</xdr:colOff>
      <xdr:row>251</xdr:row>
      <xdr:rowOff>24848</xdr:rowOff>
    </xdr:to>
    <xdr:sp macro="" textlink="">
      <xdr:nvSpPr>
        <xdr:cNvPr id="427" name="TextBox 424"/>
        <xdr:cNvSpPr txBox="1"/>
      </xdr:nvSpPr>
      <xdr:spPr>
        <a:xfrm>
          <a:off x="4729370" y="48055695"/>
          <a:ext cx="198782" cy="240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7</xdr:col>
      <xdr:colOff>612913</xdr:colOff>
      <xdr:row>144</xdr:row>
      <xdr:rowOff>157370</xdr:rowOff>
    </xdr:from>
    <xdr:to>
      <xdr:col>8</xdr:col>
      <xdr:colOff>165651</xdr:colOff>
      <xdr:row>146</xdr:row>
      <xdr:rowOff>33131</xdr:rowOff>
    </xdr:to>
    <xdr:sp macro="" textlink="">
      <xdr:nvSpPr>
        <xdr:cNvPr id="428" name="TextBox 427"/>
        <xdr:cNvSpPr txBox="1"/>
      </xdr:nvSpPr>
      <xdr:spPr>
        <a:xfrm>
          <a:off x="5582478" y="27854413"/>
          <a:ext cx="198782" cy="2567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  <xdr:twoCellAnchor>
    <xdr:from>
      <xdr:col>8</xdr:col>
      <xdr:colOff>16564</xdr:colOff>
      <xdr:row>217</xdr:row>
      <xdr:rowOff>165652</xdr:rowOff>
    </xdr:from>
    <xdr:to>
      <xdr:col>8</xdr:col>
      <xdr:colOff>182216</xdr:colOff>
      <xdr:row>218</xdr:row>
      <xdr:rowOff>165652</xdr:rowOff>
    </xdr:to>
    <xdr:sp macro="" textlink="">
      <xdr:nvSpPr>
        <xdr:cNvPr id="429" name="TextBox 428"/>
        <xdr:cNvSpPr txBox="1"/>
      </xdr:nvSpPr>
      <xdr:spPr>
        <a:xfrm>
          <a:off x="5632173" y="41901717"/>
          <a:ext cx="16565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  <xdr:twoCellAnchor>
    <xdr:from>
      <xdr:col>7</xdr:col>
      <xdr:colOff>419100</xdr:colOff>
      <xdr:row>245</xdr:row>
      <xdr:rowOff>161925</xdr:rowOff>
    </xdr:from>
    <xdr:to>
      <xdr:col>7</xdr:col>
      <xdr:colOff>619125</xdr:colOff>
      <xdr:row>247</xdr:row>
      <xdr:rowOff>133350</xdr:rowOff>
    </xdr:to>
    <xdr:sp macro="" textlink="">
      <xdr:nvSpPr>
        <xdr:cNvPr id="430" name="TextBox 73"/>
        <xdr:cNvSpPr txBox="1"/>
      </xdr:nvSpPr>
      <xdr:spPr>
        <a:xfrm>
          <a:off x="5391150" y="47291625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4</xdr:col>
      <xdr:colOff>819150</xdr:colOff>
      <xdr:row>261</xdr:row>
      <xdr:rowOff>161925</xdr:rowOff>
    </xdr:from>
    <xdr:to>
      <xdr:col>5</xdr:col>
      <xdr:colOff>114300</xdr:colOff>
      <xdr:row>263</xdr:row>
      <xdr:rowOff>133350</xdr:rowOff>
    </xdr:to>
    <xdr:sp macro="" textlink="">
      <xdr:nvSpPr>
        <xdr:cNvPr id="431" name="TextBox 73"/>
        <xdr:cNvSpPr txBox="1"/>
      </xdr:nvSpPr>
      <xdr:spPr>
        <a:xfrm>
          <a:off x="3495675" y="50349150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7</xdr:col>
      <xdr:colOff>0</xdr:colOff>
      <xdr:row>277</xdr:row>
      <xdr:rowOff>161925</xdr:rowOff>
    </xdr:from>
    <xdr:to>
      <xdr:col>7</xdr:col>
      <xdr:colOff>200025</xdr:colOff>
      <xdr:row>279</xdr:row>
      <xdr:rowOff>133350</xdr:rowOff>
    </xdr:to>
    <xdr:sp macro="" textlink="">
      <xdr:nvSpPr>
        <xdr:cNvPr id="432" name="TextBox 73"/>
        <xdr:cNvSpPr txBox="1"/>
      </xdr:nvSpPr>
      <xdr:spPr>
        <a:xfrm>
          <a:off x="4972050" y="53406675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7</xdr:col>
      <xdr:colOff>0</xdr:colOff>
      <xdr:row>329</xdr:row>
      <xdr:rowOff>161925</xdr:rowOff>
    </xdr:from>
    <xdr:to>
      <xdr:col>7</xdr:col>
      <xdr:colOff>200025</xdr:colOff>
      <xdr:row>331</xdr:row>
      <xdr:rowOff>133350</xdr:rowOff>
    </xdr:to>
    <xdr:sp macro="" textlink="">
      <xdr:nvSpPr>
        <xdr:cNvPr id="433" name="TextBox 73"/>
        <xdr:cNvSpPr txBox="1"/>
      </xdr:nvSpPr>
      <xdr:spPr>
        <a:xfrm>
          <a:off x="4972050" y="63398400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7</xdr:col>
      <xdr:colOff>0</xdr:colOff>
      <xdr:row>73</xdr:row>
      <xdr:rowOff>161925</xdr:rowOff>
    </xdr:from>
    <xdr:to>
      <xdr:col>7</xdr:col>
      <xdr:colOff>200025</xdr:colOff>
      <xdr:row>75</xdr:row>
      <xdr:rowOff>133350</xdr:rowOff>
    </xdr:to>
    <xdr:sp macro="" textlink="">
      <xdr:nvSpPr>
        <xdr:cNvPr id="434" name="TextBox 73"/>
        <xdr:cNvSpPr txBox="1"/>
      </xdr:nvSpPr>
      <xdr:spPr>
        <a:xfrm>
          <a:off x="4972050" y="14201775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6</xdr:col>
      <xdr:colOff>628650</xdr:colOff>
      <xdr:row>22</xdr:row>
      <xdr:rowOff>152400</xdr:rowOff>
    </xdr:from>
    <xdr:to>
      <xdr:col>7</xdr:col>
      <xdr:colOff>180975</xdr:colOff>
      <xdr:row>24</xdr:row>
      <xdr:rowOff>123825</xdr:rowOff>
    </xdr:to>
    <xdr:sp macro="" textlink="">
      <xdr:nvSpPr>
        <xdr:cNvPr id="435" name="TextBox 73"/>
        <xdr:cNvSpPr txBox="1"/>
      </xdr:nvSpPr>
      <xdr:spPr>
        <a:xfrm>
          <a:off x="4953000" y="4391025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6</xdr:col>
      <xdr:colOff>600075</xdr:colOff>
      <xdr:row>93</xdr:row>
      <xdr:rowOff>161925</xdr:rowOff>
    </xdr:from>
    <xdr:to>
      <xdr:col>7</xdr:col>
      <xdr:colOff>152400</xdr:colOff>
      <xdr:row>95</xdr:row>
      <xdr:rowOff>133350</xdr:rowOff>
    </xdr:to>
    <xdr:sp macro="" textlink="">
      <xdr:nvSpPr>
        <xdr:cNvPr id="436" name="TextBox 73"/>
        <xdr:cNvSpPr txBox="1"/>
      </xdr:nvSpPr>
      <xdr:spPr>
        <a:xfrm>
          <a:off x="4924425" y="18059400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  <xdr:twoCellAnchor>
    <xdr:from>
      <xdr:col>7</xdr:col>
      <xdr:colOff>409575</xdr:colOff>
      <xdr:row>166</xdr:row>
      <xdr:rowOff>161925</xdr:rowOff>
    </xdr:from>
    <xdr:to>
      <xdr:col>8</xdr:col>
      <xdr:colOff>38100</xdr:colOff>
      <xdr:row>168</xdr:row>
      <xdr:rowOff>66675</xdr:rowOff>
    </xdr:to>
    <xdr:sp macro="" textlink="">
      <xdr:nvSpPr>
        <xdr:cNvPr id="437" name="TextBox 436"/>
        <xdr:cNvSpPr txBox="1"/>
      </xdr:nvSpPr>
      <xdr:spPr>
        <a:xfrm>
          <a:off x="5381625" y="32099250"/>
          <a:ext cx="2762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123825</xdr:rowOff>
    </xdr:from>
    <xdr:to>
      <xdr:col>9</xdr:col>
      <xdr:colOff>318053</xdr:colOff>
      <xdr:row>4</xdr:row>
      <xdr:rowOff>95250</xdr:rowOff>
    </xdr:to>
    <xdr:sp macro="" textlink="">
      <xdr:nvSpPr>
        <xdr:cNvPr id="2" name="TextBox 1"/>
        <xdr:cNvSpPr txBox="1"/>
      </xdr:nvSpPr>
      <xdr:spPr>
        <a:xfrm>
          <a:off x="285750" y="314325"/>
          <a:ext cx="5861603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 b="1">
              <a:solidFill>
                <a:schemeClr val="dk1"/>
              </a:solidFill>
              <a:latin typeface="+mn-lt"/>
              <a:ea typeface="+mn-ea"/>
              <a:cs typeface="+mn-cs"/>
            </a:rPr>
            <a:t>Расчет установившегося режима работы кольцевой сети. Определение сечений и марок проводов линий электропередачи.</a:t>
          </a:r>
          <a:endParaRPr lang="ru-RU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ru-RU" sz="1400"/>
        </a:p>
      </xdr:txBody>
    </xdr:sp>
    <xdr:clientData/>
  </xdr:twoCellAnchor>
  <xdr:twoCellAnchor>
    <xdr:from>
      <xdr:col>1</xdr:col>
      <xdr:colOff>637761</xdr:colOff>
      <xdr:row>7</xdr:row>
      <xdr:rowOff>182217</xdr:rowOff>
    </xdr:from>
    <xdr:to>
      <xdr:col>8</xdr:col>
      <xdr:colOff>0</xdr:colOff>
      <xdr:row>7</xdr:row>
      <xdr:rowOff>183805</xdr:rowOff>
    </xdr:to>
    <xdr:cxnSp macro="">
      <xdr:nvCxnSpPr>
        <xdr:cNvPr id="4" name="Прямая соединительная линия 3"/>
        <xdr:cNvCxnSpPr/>
      </xdr:nvCxnSpPr>
      <xdr:spPr>
        <a:xfrm>
          <a:off x="1283804" y="1515717"/>
          <a:ext cx="3884544" cy="1588"/>
        </a:xfrm>
        <a:prstGeom prst="line">
          <a:avLst/>
        </a:prstGeom>
        <a:ln w="25400" cmpd="sng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645250</xdr:colOff>
      <xdr:row>7</xdr:row>
      <xdr:rowOff>174729</xdr:rowOff>
    </xdr:from>
    <xdr:to>
      <xdr:col>6</xdr:col>
      <xdr:colOff>794</xdr:colOff>
      <xdr:row>11</xdr:row>
      <xdr:rowOff>9077</xdr:rowOff>
    </xdr:to>
    <xdr:cxnSp macro="">
      <xdr:nvCxnSpPr>
        <xdr:cNvPr id="7" name="Прямая со стрелкой 6"/>
        <xdr:cNvCxnSpPr/>
      </xdr:nvCxnSpPr>
      <xdr:spPr>
        <a:xfrm rot="5400000">
          <a:off x="3578087" y="1805609"/>
          <a:ext cx="596348" cy="1588"/>
        </a:xfrm>
        <a:prstGeom prst="straightConnector1">
          <a:avLst/>
        </a:prstGeom>
        <a:ln w="22225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645250</xdr:colOff>
      <xdr:row>7</xdr:row>
      <xdr:rowOff>794</xdr:rowOff>
    </xdr:from>
    <xdr:to>
      <xdr:col>2</xdr:col>
      <xdr:colOff>794</xdr:colOff>
      <xdr:row>9</xdr:row>
      <xdr:rowOff>794</xdr:rowOff>
    </xdr:to>
    <xdr:cxnSp macro="">
      <xdr:nvCxnSpPr>
        <xdr:cNvPr id="9" name="Прямая соединительная линия 8"/>
        <xdr:cNvCxnSpPr/>
      </xdr:nvCxnSpPr>
      <xdr:spPr>
        <a:xfrm rot="5400000">
          <a:off x="1101587" y="1524000"/>
          <a:ext cx="381000" cy="158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645250</xdr:colOff>
      <xdr:row>7</xdr:row>
      <xdr:rowOff>794</xdr:rowOff>
    </xdr:from>
    <xdr:to>
      <xdr:col>8</xdr:col>
      <xdr:colOff>794</xdr:colOff>
      <xdr:row>9</xdr:row>
      <xdr:rowOff>794</xdr:rowOff>
    </xdr:to>
    <xdr:cxnSp macro="">
      <xdr:nvCxnSpPr>
        <xdr:cNvPr id="10" name="Прямая соединительная линия 9"/>
        <xdr:cNvCxnSpPr/>
      </xdr:nvCxnSpPr>
      <xdr:spPr>
        <a:xfrm rot="5400000">
          <a:off x="4977848" y="1524000"/>
          <a:ext cx="381000" cy="158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397565</xdr:colOff>
      <xdr:row>7</xdr:row>
      <xdr:rowOff>49695</xdr:rowOff>
    </xdr:from>
    <xdr:to>
      <xdr:col>1</xdr:col>
      <xdr:colOff>579783</xdr:colOff>
      <xdr:row>8</xdr:row>
      <xdr:rowOff>107673</xdr:rowOff>
    </xdr:to>
    <xdr:sp macro="" textlink="">
      <xdr:nvSpPr>
        <xdr:cNvPr id="11" name="TextBox 10"/>
        <xdr:cNvSpPr txBox="1"/>
      </xdr:nvSpPr>
      <xdr:spPr>
        <a:xfrm>
          <a:off x="1043608" y="1383195"/>
          <a:ext cx="182218" cy="248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 b="1"/>
            <a:t>1</a:t>
          </a:r>
        </a:p>
      </xdr:txBody>
    </xdr:sp>
    <xdr:clientData/>
  </xdr:twoCellAnchor>
  <xdr:twoCellAnchor>
    <xdr:from>
      <xdr:col>3</xdr:col>
      <xdr:colOff>521803</xdr:colOff>
      <xdr:row>6</xdr:row>
      <xdr:rowOff>57978</xdr:rowOff>
    </xdr:from>
    <xdr:to>
      <xdr:col>4</xdr:col>
      <xdr:colOff>57977</xdr:colOff>
      <xdr:row>7</xdr:row>
      <xdr:rowOff>115956</xdr:rowOff>
    </xdr:to>
    <xdr:sp macro="" textlink="">
      <xdr:nvSpPr>
        <xdr:cNvPr id="12" name="TextBox 11"/>
        <xdr:cNvSpPr txBox="1"/>
      </xdr:nvSpPr>
      <xdr:spPr>
        <a:xfrm>
          <a:off x="2459933" y="1200978"/>
          <a:ext cx="182218" cy="248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 b="1"/>
            <a:t>3</a:t>
          </a:r>
        </a:p>
      </xdr:txBody>
    </xdr:sp>
    <xdr:clientData/>
  </xdr:twoCellAnchor>
  <xdr:twoCellAnchor>
    <xdr:from>
      <xdr:col>5</xdr:col>
      <xdr:colOff>530084</xdr:colOff>
      <xdr:row>6</xdr:row>
      <xdr:rowOff>57978</xdr:rowOff>
    </xdr:from>
    <xdr:to>
      <xdr:col>6</xdr:col>
      <xdr:colOff>66258</xdr:colOff>
      <xdr:row>7</xdr:row>
      <xdr:rowOff>115956</xdr:rowOff>
    </xdr:to>
    <xdr:sp macro="" textlink="">
      <xdr:nvSpPr>
        <xdr:cNvPr id="13" name="TextBox 12"/>
        <xdr:cNvSpPr txBox="1"/>
      </xdr:nvSpPr>
      <xdr:spPr>
        <a:xfrm>
          <a:off x="3760301" y="1200978"/>
          <a:ext cx="182218" cy="248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4</a:t>
          </a:r>
          <a:endParaRPr lang="ru-RU" sz="1100" b="1"/>
        </a:p>
      </xdr:txBody>
    </xdr:sp>
    <xdr:clientData/>
  </xdr:twoCellAnchor>
  <xdr:twoCellAnchor>
    <xdr:from>
      <xdr:col>7</xdr:col>
      <xdr:colOff>646042</xdr:colOff>
      <xdr:row>7</xdr:row>
      <xdr:rowOff>49694</xdr:rowOff>
    </xdr:from>
    <xdr:to>
      <xdr:col>8</xdr:col>
      <xdr:colOff>306457</xdr:colOff>
      <xdr:row>8</xdr:row>
      <xdr:rowOff>165651</xdr:rowOff>
    </xdr:to>
    <xdr:sp macro="" textlink="">
      <xdr:nvSpPr>
        <xdr:cNvPr id="14" name="TextBox 13"/>
        <xdr:cNvSpPr txBox="1"/>
      </xdr:nvSpPr>
      <xdr:spPr>
        <a:xfrm>
          <a:off x="5201477" y="1383194"/>
          <a:ext cx="306458" cy="306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 b="1"/>
            <a:t>1</a:t>
          </a:r>
          <a:r>
            <a:rPr lang="en-US" sz="1100" b="1"/>
            <a:t>'</a:t>
          </a:r>
          <a:endParaRPr lang="ru-RU" sz="1100" b="1"/>
        </a:p>
      </xdr:txBody>
    </xdr:sp>
    <xdr:clientData/>
  </xdr:twoCellAnchor>
  <xdr:twoCellAnchor>
    <xdr:from>
      <xdr:col>3</xdr:col>
      <xdr:colOff>513521</xdr:colOff>
      <xdr:row>11</xdr:row>
      <xdr:rowOff>24847</xdr:rowOff>
    </xdr:from>
    <xdr:to>
      <xdr:col>4</xdr:col>
      <xdr:colOff>143702</xdr:colOff>
      <xdr:row>12</xdr:row>
      <xdr:rowOff>62947</xdr:rowOff>
    </xdr:to>
    <xdr:pic>
      <xdr:nvPicPr>
        <xdr:cNvPr id="6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51651" y="2120347"/>
          <a:ext cx="2762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521804</xdr:colOff>
      <xdr:row>11</xdr:row>
      <xdr:rowOff>24848</xdr:rowOff>
    </xdr:from>
    <xdr:to>
      <xdr:col>6</xdr:col>
      <xdr:colOff>151985</xdr:colOff>
      <xdr:row>12</xdr:row>
      <xdr:rowOff>62948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52021" y="2120348"/>
          <a:ext cx="276225" cy="228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579783</xdr:colOff>
      <xdr:row>16</xdr:row>
      <xdr:rowOff>182217</xdr:rowOff>
    </xdr:from>
    <xdr:to>
      <xdr:col>3</xdr:col>
      <xdr:colOff>9940</xdr:colOff>
      <xdr:row>18</xdr:row>
      <xdr:rowOff>29817</xdr:rowOff>
    </xdr:to>
    <xdr:pic>
      <xdr:nvPicPr>
        <xdr:cNvPr id="614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9783" y="3279913"/>
          <a:ext cx="1368287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25</xdr:row>
      <xdr:rowOff>28575</xdr:rowOff>
    </xdr:from>
    <xdr:to>
      <xdr:col>1</xdr:col>
      <xdr:colOff>342900</xdr:colOff>
      <xdr:row>26</xdr:row>
      <xdr:rowOff>47625</xdr:rowOff>
    </xdr:to>
    <xdr:pic>
      <xdr:nvPicPr>
        <xdr:cNvPr id="2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20450175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26</xdr:row>
      <xdr:rowOff>104775</xdr:rowOff>
    </xdr:from>
    <xdr:to>
      <xdr:col>2</xdr:col>
      <xdr:colOff>114300</xdr:colOff>
      <xdr:row>28</xdr:row>
      <xdr:rowOff>133350</xdr:rowOff>
    </xdr:to>
    <xdr:pic>
      <xdr:nvPicPr>
        <xdr:cNvPr id="2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0726400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27</xdr:row>
      <xdr:rowOff>19050</xdr:rowOff>
    </xdr:from>
    <xdr:to>
      <xdr:col>3</xdr:col>
      <xdr:colOff>304800</xdr:colOff>
      <xdr:row>28</xdr:row>
      <xdr:rowOff>38100</xdr:rowOff>
    </xdr:to>
    <xdr:pic>
      <xdr:nvPicPr>
        <xdr:cNvPr id="2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2083117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276225</xdr:colOff>
      <xdr:row>30</xdr:row>
      <xdr:rowOff>9525</xdr:rowOff>
    </xdr:to>
    <xdr:pic>
      <xdr:nvPicPr>
        <xdr:cNvPr id="23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21193125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506069</xdr:colOff>
      <xdr:row>40</xdr:row>
      <xdr:rowOff>180975</xdr:rowOff>
    </xdr:from>
    <xdr:to>
      <xdr:col>4</xdr:col>
      <xdr:colOff>202925</xdr:colOff>
      <xdr:row>42</xdr:row>
      <xdr:rowOff>28575</xdr:rowOff>
    </xdr:to>
    <xdr:pic>
      <xdr:nvPicPr>
        <xdr:cNvPr id="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44199" y="8314497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496544</xdr:colOff>
      <xdr:row>42</xdr:row>
      <xdr:rowOff>0</xdr:rowOff>
    </xdr:from>
    <xdr:to>
      <xdr:col>4</xdr:col>
      <xdr:colOff>202925</xdr:colOff>
      <xdr:row>43</xdr:row>
      <xdr:rowOff>38100</xdr:rowOff>
    </xdr:to>
    <xdr:pic>
      <xdr:nvPicPr>
        <xdr:cNvPr id="2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34674" y="8514522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496544</xdr:colOff>
      <xdr:row>43</xdr:row>
      <xdr:rowOff>0</xdr:rowOff>
    </xdr:from>
    <xdr:to>
      <xdr:col>4</xdr:col>
      <xdr:colOff>202925</xdr:colOff>
      <xdr:row>44</xdr:row>
      <xdr:rowOff>38100</xdr:rowOff>
    </xdr:to>
    <xdr:pic>
      <xdr:nvPicPr>
        <xdr:cNvPr id="2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34674" y="8705022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43</xdr:row>
      <xdr:rowOff>5576</xdr:rowOff>
    </xdr:from>
    <xdr:to>
      <xdr:col>6</xdr:col>
      <xdr:colOff>95251</xdr:colOff>
      <xdr:row>44</xdr:row>
      <xdr:rowOff>38100</xdr:rowOff>
    </xdr:to>
    <xdr:pic>
      <xdr:nvPicPr>
        <xdr:cNvPr id="2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24275276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2</xdr:col>
      <xdr:colOff>251791</xdr:colOff>
      <xdr:row>48</xdr:row>
      <xdr:rowOff>183459</xdr:rowOff>
    </xdr:from>
    <xdr:to>
      <xdr:col>4</xdr:col>
      <xdr:colOff>185116</xdr:colOff>
      <xdr:row>50</xdr:row>
      <xdr:rowOff>21534</xdr:rowOff>
    </xdr:to>
    <xdr:pic>
      <xdr:nvPicPr>
        <xdr:cNvPr id="3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43878" y="9459981"/>
          <a:ext cx="1225412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2</xdr:col>
      <xdr:colOff>428625</xdr:colOff>
      <xdr:row>59</xdr:row>
      <xdr:rowOff>28575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7508200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33131</xdr:colOff>
      <xdr:row>22</xdr:row>
      <xdr:rowOff>74544</xdr:rowOff>
    </xdr:from>
    <xdr:to>
      <xdr:col>2</xdr:col>
      <xdr:colOff>385556</xdr:colOff>
      <xdr:row>24</xdr:row>
      <xdr:rowOff>160269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9174" y="4364935"/>
          <a:ext cx="998469" cy="4667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513523</xdr:colOff>
      <xdr:row>16</xdr:row>
      <xdr:rowOff>157368</xdr:rowOff>
    </xdr:from>
    <xdr:to>
      <xdr:col>7</xdr:col>
      <xdr:colOff>115958</xdr:colOff>
      <xdr:row>18</xdr:row>
      <xdr:rowOff>49695</xdr:rowOff>
    </xdr:to>
    <xdr:sp macro="" textlink="">
      <xdr:nvSpPr>
        <xdr:cNvPr id="36" name="TextBox 35"/>
        <xdr:cNvSpPr txBox="1"/>
      </xdr:nvSpPr>
      <xdr:spPr>
        <a:xfrm>
          <a:off x="4389784" y="3255064"/>
          <a:ext cx="248478" cy="273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  <xdr:twoCellAnchor>
    <xdr:from>
      <xdr:col>0</xdr:col>
      <xdr:colOff>198780</xdr:colOff>
      <xdr:row>17</xdr:row>
      <xdr:rowOff>24847</xdr:rowOff>
    </xdr:from>
    <xdr:to>
      <xdr:col>0</xdr:col>
      <xdr:colOff>503580</xdr:colOff>
      <xdr:row>18</xdr:row>
      <xdr:rowOff>43897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8780" y="3313043"/>
          <a:ext cx="304800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629478</xdr:colOff>
      <xdr:row>51</xdr:row>
      <xdr:rowOff>115956</xdr:rowOff>
    </xdr:from>
    <xdr:to>
      <xdr:col>3</xdr:col>
      <xdr:colOff>12010</xdr:colOff>
      <xdr:row>53</xdr:row>
      <xdr:rowOff>106431</xdr:rowOff>
    </xdr:to>
    <xdr:pic>
      <xdr:nvPicPr>
        <xdr:cNvPr id="5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9478" y="9955695"/>
          <a:ext cx="1320662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637760</xdr:colOff>
      <xdr:row>55</xdr:row>
      <xdr:rowOff>115957</xdr:rowOff>
    </xdr:from>
    <xdr:to>
      <xdr:col>3</xdr:col>
      <xdr:colOff>10767</xdr:colOff>
      <xdr:row>57</xdr:row>
      <xdr:rowOff>106432</xdr:rowOff>
    </xdr:to>
    <xdr:pic>
      <xdr:nvPicPr>
        <xdr:cNvPr id="51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0" y="10717696"/>
          <a:ext cx="1311137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74</xdr:row>
      <xdr:rowOff>28575</xdr:rowOff>
    </xdr:from>
    <xdr:to>
      <xdr:col>1</xdr:col>
      <xdr:colOff>342900</xdr:colOff>
      <xdr:row>75</xdr:row>
      <xdr:rowOff>47625</xdr:rowOff>
    </xdr:to>
    <xdr:pic>
      <xdr:nvPicPr>
        <xdr:cNvPr id="4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5093" y="4890466"/>
          <a:ext cx="323850" cy="217833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75</xdr:row>
      <xdr:rowOff>104775</xdr:rowOff>
    </xdr:from>
    <xdr:to>
      <xdr:col>2</xdr:col>
      <xdr:colOff>114300</xdr:colOff>
      <xdr:row>77</xdr:row>
      <xdr:rowOff>133350</xdr:rowOff>
    </xdr:to>
    <xdr:pic>
      <xdr:nvPicPr>
        <xdr:cNvPr id="4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165449"/>
          <a:ext cx="760344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76</xdr:row>
      <xdr:rowOff>19050</xdr:rowOff>
    </xdr:from>
    <xdr:to>
      <xdr:col>3</xdr:col>
      <xdr:colOff>304800</xdr:colOff>
      <xdr:row>77</xdr:row>
      <xdr:rowOff>38100</xdr:rowOff>
    </xdr:to>
    <xdr:pic>
      <xdr:nvPicPr>
        <xdr:cNvPr id="4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66705" y="5270224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276225</xdr:colOff>
      <xdr:row>79</xdr:row>
      <xdr:rowOff>9525</xdr:rowOff>
    </xdr:to>
    <xdr:pic>
      <xdr:nvPicPr>
        <xdr:cNvPr id="44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876261" y="5632174"/>
          <a:ext cx="276225" cy="208308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506069</xdr:colOff>
      <xdr:row>133</xdr:row>
      <xdr:rowOff>180975</xdr:rowOff>
    </xdr:from>
    <xdr:to>
      <xdr:col>4</xdr:col>
      <xdr:colOff>202925</xdr:colOff>
      <xdr:row>135</xdr:row>
      <xdr:rowOff>28575</xdr:rowOff>
    </xdr:to>
    <xdr:pic>
      <xdr:nvPicPr>
        <xdr:cNvPr id="4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44199" y="7544214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496544</xdr:colOff>
      <xdr:row>135</xdr:row>
      <xdr:rowOff>0</xdr:rowOff>
    </xdr:from>
    <xdr:to>
      <xdr:col>4</xdr:col>
      <xdr:colOff>202925</xdr:colOff>
      <xdr:row>136</xdr:row>
      <xdr:rowOff>38100</xdr:rowOff>
    </xdr:to>
    <xdr:pic>
      <xdr:nvPicPr>
        <xdr:cNvPr id="4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34674" y="7744239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496544</xdr:colOff>
      <xdr:row>136</xdr:row>
      <xdr:rowOff>0</xdr:rowOff>
    </xdr:from>
    <xdr:to>
      <xdr:col>4</xdr:col>
      <xdr:colOff>202925</xdr:colOff>
      <xdr:row>137</xdr:row>
      <xdr:rowOff>38100</xdr:rowOff>
    </xdr:to>
    <xdr:pic>
      <xdr:nvPicPr>
        <xdr:cNvPr id="4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34674" y="7934739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136</xdr:row>
      <xdr:rowOff>5576</xdr:rowOff>
    </xdr:from>
    <xdr:to>
      <xdr:col>6</xdr:col>
      <xdr:colOff>95251</xdr:colOff>
      <xdr:row>137</xdr:row>
      <xdr:rowOff>38100</xdr:rowOff>
    </xdr:to>
    <xdr:pic>
      <xdr:nvPicPr>
        <xdr:cNvPr id="4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87418" y="7940315"/>
          <a:ext cx="284094" cy="223024"/>
        </a:xfrm>
        <a:prstGeom prst="rect">
          <a:avLst/>
        </a:prstGeom>
        <a:noFill/>
      </xdr:spPr>
    </xdr:pic>
    <xdr:clientData/>
  </xdr:twoCellAnchor>
  <xdr:twoCellAnchor>
    <xdr:from>
      <xdr:col>2</xdr:col>
      <xdr:colOff>251791</xdr:colOff>
      <xdr:row>142</xdr:row>
      <xdr:rowOff>9525</xdr:rowOff>
    </xdr:from>
    <xdr:to>
      <xdr:col>4</xdr:col>
      <xdr:colOff>185116</xdr:colOff>
      <xdr:row>143</xdr:row>
      <xdr:rowOff>38100</xdr:rowOff>
    </xdr:to>
    <xdr:pic>
      <xdr:nvPicPr>
        <xdr:cNvPr id="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43878" y="9087264"/>
          <a:ext cx="1225412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428625</xdr:colOff>
      <xdr:row>111</xdr:row>
      <xdr:rowOff>28575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11173239"/>
          <a:ext cx="1074669" cy="2190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513523</xdr:colOff>
      <xdr:row>65</xdr:row>
      <xdr:rowOff>157368</xdr:rowOff>
    </xdr:from>
    <xdr:to>
      <xdr:col>7</xdr:col>
      <xdr:colOff>115958</xdr:colOff>
      <xdr:row>67</xdr:row>
      <xdr:rowOff>49695</xdr:rowOff>
    </xdr:to>
    <xdr:sp macro="" textlink="">
      <xdr:nvSpPr>
        <xdr:cNvPr id="53" name="TextBox 52"/>
        <xdr:cNvSpPr txBox="1"/>
      </xdr:nvSpPr>
      <xdr:spPr>
        <a:xfrm>
          <a:off x="4389784" y="3255064"/>
          <a:ext cx="248478" cy="273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  <xdr:twoCellAnchor>
    <xdr:from>
      <xdr:col>0</xdr:col>
      <xdr:colOff>198780</xdr:colOff>
      <xdr:row>66</xdr:row>
      <xdr:rowOff>24847</xdr:rowOff>
    </xdr:from>
    <xdr:to>
      <xdr:col>0</xdr:col>
      <xdr:colOff>503580</xdr:colOff>
      <xdr:row>67</xdr:row>
      <xdr:rowOff>43897</xdr:rowOff>
    </xdr:to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8780" y="3313043"/>
          <a:ext cx="304800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629478</xdr:colOff>
      <xdr:row>103</xdr:row>
      <xdr:rowOff>115956</xdr:rowOff>
    </xdr:from>
    <xdr:to>
      <xdr:col>3</xdr:col>
      <xdr:colOff>12010</xdr:colOff>
      <xdr:row>105</xdr:row>
      <xdr:rowOff>106431</xdr:rowOff>
    </xdr:to>
    <xdr:pic>
      <xdr:nvPicPr>
        <xdr:cNvPr id="5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9478" y="9955695"/>
          <a:ext cx="1320662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637760</xdr:colOff>
      <xdr:row>107</xdr:row>
      <xdr:rowOff>115957</xdr:rowOff>
    </xdr:from>
    <xdr:to>
      <xdr:col>3</xdr:col>
      <xdr:colOff>10767</xdr:colOff>
      <xdr:row>109</xdr:row>
      <xdr:rowOff>106432</xdr:rowOff>
    </xdr:to>
    <xdr:pic>
      <xdr:nvPicPr>
        <xdr:cNvPr id="5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0" y="10717696"/>
          <a:ext cx="1311137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579781</xdr:colOff>
      <xdr:row>65</xdr:row>
      <xdr:rowOff>182216</xdr:rowOff>
    </xdr:from>
    <xdr:to>
      <xdr:col>3</xdr:col>
      <xdr:colOff>9938</xdr:colOff>
      <xdr:row>67</xdr:row>
      <xdr:rowOff>29816</xdr:rowOff>
    </xdr:to>
    <xdr:pic>
      <xdr:nvPicPr>
        <xdr:cNvPr id="512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9781" y="12738651"/>
          <a:ext cx="1368287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71</xdr:row>
      <xdr:rowOff>74544</xdr:rowOff>
    </xdr:from>
    <xdr:to>
      <xdr:col>2</xdr:col>
      <xdr:colOff>368991</xdr:colOff>
      <xdr:row>73</xdr:row>
      <xdr:rowOff>160269</xdr:rowOff>
    </xdr:to>
    <xdr:pic>
      <xdr:nvPicPr>
        <xdr:cNvPr id="512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9" y="13823674"/>
          <a:ext cx="998469" cy="4667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34</xdr:row>
      <xdr:rowOff>74543</xdr:rowOff>
    </xdr:from>
    <xdr:to>
      <xdr:col>3</xdr:col>
      <xdr:colOff>19050</xdr:colOff>
      <xdr:row>36</xdr:row>
      <xdr:rowOff>160268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6675782"/>
          <a:ext cx="1311137" cy="4667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84</xdr:row>
      <xdr:rowOff>82826</xdr:rowOff>
    </xdr:from>
    <xdr:to>
      <xdr:col>3</xdr:col>
      <xdr:colOff>19050</xdr:colOff>
      <xdr:row>86</xdr:row>
      <xdr:rowOff>168551</xdr:rowOff>
    </xdr:to>
    <xdr:pic>
      <xdr:nvPicPr>
        <xdr:cNvPr id="614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16341587"/>
          <a:ext cx="1311137" cy="4667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670098</xdr:colOff>
      <xdr:row>7</xdr:row>
      <xdr:rowOff>174730</xdr:rowOff>
    </xdr:from>
    <xdr:to>
      <xdr:col>3</xdr:col>
      <xdr:colOff>671685</xdr:colOff>
      <xdr:row>11</xdr:row>
      <xdr:rowOff>9078</xdr:rowOff>
    </xdr:to>
    <xdr:cxnSp macro="">
      <xdr:nvCxnSpPr>
        <xdr:cNvPr id="60" name="Прямая со стрелкой 59"/>
        <xdr:cNvCxnSpPr/>
      </xdr:nvCxnSpPr>
      <xdr:spPr>
        <a:xfrm rot="5400000">
          <a:off x="2310848" y="1805610"/>
          <a:ext cx="596348" cy="1587"/>
        </a:xfrm>
        <a:prstGeom prst="straightConnector1">
          <a:avLst/>
        </a:prstGeom>
        <a:ln w="22225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554934</xdr:colOff>
      <xdr:row>47</xdr:row>
      <xdr:rowOff>0</xdr:rowOff>
    </xdr:from>
    <xdr:to>
      <xdr:col>4</xdr:col>
      <xdr:colOff>175591</xdr:colOff>
      <xdr:row>48</xdr:row>
      <xdr:rowOff>28575</xdr:rowOff>
    </xdr:to>
    <xdr:pic>
      <xdr:nvPicPr>
        <xdr:cNvPr id="61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47021" y="9086022"/>
          <a:ext cx="945874" cy="219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588065</xdr:colOff>
      <xdr:row>45</xdr:row>
      <xdr:rowOff>0</xdr:rowOff>
    </xdr:from>
    <xdr:to>
      <xdr:col>4</xdr:col>
      <xdr:colOff>180147</xdr:colOff>
      <xdr:row>46</xdr:row>
      <xdr:rowOff>28575</xdr:rowOff>
    </xdr:to>
    <xdr:pic>
      <xdr:nvPicPr>
        <xdr:cNvPr id="615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80152" y="8705022"/>
          <a:ext cx="917299" cy="219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563217</xdr:colOff>
      <xdr:row>140</xdr:row>
      <xdr:rowOff>0</xdr:rowOff>
    </xdr:from>
    <xdr:to>
      <xdr:col>4</xdr:col>
      <xdr:colOff>183874</xdr:colOff>
      <xdr:row>141</xdr:row>
      <xdr:rowOff>28575</xdr:rowOff>
    </xdr:to>
    <xdr:pic>
      <xdr:nvPicPr>
        <xdr:cNvPr id="6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55304" y="24118957"/>
          <a:ext cx="945874" cy="219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596348</xdr:colOff>
      <xdr:row>138</xdr:row>
      <xdr:rowOff>0</xdr:rowOff>
    </xdr:from>
    <xdr:to>
      <xdr:col>4</xdr:col>
      <xdr:colOff>188430</xdr:colOff>
      <xdr:row>139</xdr:row>
      <xdr:rowOff>28575</xdr:rowOff>
    </xdr:to>
    <xdr:pic>
      <xdr:nvPicPr>
        <xdr:cNvPr id="6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88435" y="23737957"/>
          <a:ext cx="917299" cy="2190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506069</xdr:colOff>
      <xdr:row>89</xdr:row>
      <xdr:rowOff>180975</xdr:rowOff>
    </xdr:from>
    <xdr:to>
      <xdr:col>4</xdr:col>
      <xdr:colOff>202925</xdr:colOff>
      <xdr:row>91</xdr:row>
      <xdr:rowOff>28575</xdr:rowOff>
    </xdr:to>
    <xdr:pic>
      <xdr:nvPicPr>
        <xdr:cNvPr id="6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44199" y="7933497"/>
          <a:ext cx="376030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496544</xdr:colOff>
      <xdr:row>91</xdr:row>
      <xdr:rowOff>0</xdr:rowOff>
    </xdr:from>
    <xdr:to>
      <xdr:col>4</xdr:col>
      <xdr:colOff>202925</xdr:colOff>
      <xdr:row>92</xdr:row>
      <xdr:rowOff>38100</xdr:rowOff>
    </xdr:to>
    <xdr:pic>
      <xdr:nvPicPr>
        <xdr:cNvPr id="6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34674" y="8133522"/>
          <a:ext cx="385555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496544</xdr:colOff>
      <xdr:row>92</xdr:row>
      <xdr:rowOff>0</xdr:rowOff>
    </xdr:from>
    <xdr:to>
      <xdr:col>4</xdr:col>
      <xdr:colOff>202925</xdr:colOff>
      <xdr:row>93</xdr:row>
      <xdr:rowOff>38100</xdr:rowOff>
    </xdr:to>
    <xdr:pic>
      <xdr:nvPicPr>
        <xdr:cNvPr id="6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34674" y="8324022"/>
          <a:ext cx="38555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92</xdr:row>
      <xdr:rowOff>5576</xdr:rowOff>
    </xdr:from>
    <xdr:to>
      <xdr:col>6</xdr:col>
      <xdr:colOff>95251</xdr:colOff>
      <xdr:row>93</xdr:row>
      <xdr:rowOff>38100</xdr:rowOff>
    </xdr:to>
    <xdr:pic>
      <xdr:nvPicPr>
        <xdr:cNvPr id="6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20549" y="8329598"/>
          <a:ext cx="284093" cy="223024"/>
        </a:xfrm>
        <a:prstGeom prst="rect">
          <a:avLst/>
        </a:prstGeom>
        <a:noFill/>
      </xdr:spPr>
    </xdr:pic>
    <xdr:clientData/>
  </xdr:twoCellAnchor>
  <xdr:twoCellAnchor>
    <xdr:from>
      <xdr:col>2</xdr:col>
      <xdr:colOff>251791</xdr:colOff>
      <xdr:row>97</xdr:row>
      <xdr:rowOff>183459</xdr:rowOff>
    </xdr:from>
    <xdr:to>
      <xdr:col>4</xdr:col>
      <xdr:colOff>185116</xdr:colOff>
      <xdr:row>99</xdr:row>
      <xdr:rowOff>21534</xdr:rowOff>
    </xdr:to>
    <xdr:pic>
      <xdr:nvPicPr>
        <xdr:cNvPr id="6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43878" y="9459981"/>
          <a:ext cx="1258542" cy="219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554934</xdr:colOff>
      <xdr:row>96</xdr:row>
      <xdr:rowOff>0</xdr:rowOff>
    </xdr:from>
    <xdr:to>
      <xdr:col>4</xdr:col>
      <xdr:colOff>175591</xdr:colOff>
      <xdr:row>97</xdr:row>
      <xdr:rowOff>28575</xdr:rowOff>
    </xdr:to>
    <xdr:pic>
      <xdr:nvPicPr>
        <xdr:cNvPr id="6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47021" y="9086022"/>
          <a:ext cx="945874" cy="219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588065</xdr:colOff>
      <xdr:row>94</xdr:row>
      <xdr:rowOff>0</xdr:rowOff>
    </xdr:from>
    <xdr:to>
      <xdr:col>4</xdr:col>
      <xdr:colOff>180147</xdr:colOff>
      <xdr:row>95</xdr:row>
      <xdr:rowOff>28575</xdr:rowOff>
    </xdr:to>
    <xdr:pic>
      <xdr:nvPicPr>
        <xdr:cNvPr id="6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80152" y="8705022"/>
          <a:ext cx="917299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8283</xdr:colOff>
      <xdr:row>59</xdr:row>
      <xdr:rowOff>91109</xdr:rowOff>
    </xdr:from>
    <xdr:to>
      <xdr:col>4</xdr:col>
      <xdr:colOff>8283</xdr:colOff>
      <xdr:row>61</xdr:row>
      <xdr:rowOff>138734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4326" y="11463131"/>
          <a:ext cx="1971261" cy="4286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637761</xdr:colOff>
      <xdr:row>111</xdr:row>
      <xdr:rowOff>82826</xdr:rowOff>
    </xdr:from>
    <xdr:to>
      <xdr:col>3</xdr:col>
      <xdr:colOff>670892</xdr:colOff>
      <xdr:row>113</xdr:row>
      <xdr:rowOff>130451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1" y="21485087"/>
          <a:ext cx="1971261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2</xdr:col>
      <xdr:colOff>428625</xdr:colOff>
      <xdr:row>59</xdr:row>
      <xdr:rowOff>28575</xdr:rowOff>
    </xdr:to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11181522"/>
          <a:ext cx="1074669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629478</xdr:colOff>
      <xdr:row>51</xdr:row>
      <xdr:rowOff>115956</xdr:rowOff>
    </xdr:from>
    <xdr:to>
      <xdr:col>3</xdr:col>
      <xdr:colOff>12010</xdr:colOff>
      <xdr:row>53</xdr:row>
      <xdr:rowOff>106431</xdr:rowOff>
    </xdr:to>
    <xdr:pic>
      <xdr:nvPicPr>
        <xdr:cNvPr id="7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9478" y="9963978"/>
          <a:ext cx="1320662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637760</xdr:colOff>
      <xdr:row>55</xdr:row>
      <xdr:rowOff>115957</xdr:rowOff>
    </xdr:from>
    <xdr:to>
      <xdr:col>3</xdr:col>
      <xdr:colOff>10767</xdr:colOff>
      <xdr:row>57</xdr:row>
      <xdr:rowOff>106432</xdr:rowOff>
    </xdr:to>
    <xdr:pic>
      <xdr:nvPicPr>
        <xdr:cNvPr id="7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0" y="10725979"/>
          <a:ext cx="1311137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8283</xdr:colOff>
      <xdr:row>59</xdr:row>
      <xdr:rowOff>91109</xdr:rowOff>
    </xdr:from>
    <xdr:to>
      <xdr:col>4</xdr:col>
      <xdr:colOff>8283</xdr:colOff>
      <xdr:row>61</xdr:row>
      <xdr:rowOff>138734</xdr:rowOff>
    </xdr:to>
    <xdr:pic>
      <xdr:nvPicPr>
        <xdr:cNvPr id="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4326" y="11463131"/>
          <a:ext cx="1971261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24849</xdr:colOff>
      <xdr:row>120</xdr:row>
      <xdr:rowOff>57978</xdr:rowOff>
    </xdr:from>
    <xdr:to>
      <xdr:col>2</xdr:col>
      <xdr:colOff>434424</xdr:colOff>
      <xdr:row>122</xdr:row>
      <xdr:rowOff>143703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0892" y="23224435"/>
          <a:ext cx="1055619" cy="4667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24848</xdr:colOff>
      <xdr:row>124</xdr:row>
      <xdr:rowOff>66261</xdr:rowOff>
    </xdr:from>
    <xdr:to>
      <xdr:col>2</xdr:col>
      <xdr:colOff>434423</xdr:colOff>
      <xdr:row>126</xdr:row>
      <xdr:rowOff>151986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0891" y="23994718"/>
          <a:ext cx="1055619" cy="466725"/>
        </a:xfrm>
        <a:prstGeom prst="rect">
          <a:avLst/>
        </a:prstGeom>
        <a:noFill/>
      </xdr:spPr>
    </xdr:pic>
    <xdr:clientData/>
  </xdr:twoCellAnchor>
  <xdr:twoCellAnchor>
    <xdr:from>
      <xdr:col>7</xdr:col>
      <xdr:colOff>590550</xdr:colOff>
      <xdr:row>59</xdr:row>
      <xdr:rowOff>161925</xdr:rowOff>
    </xdr:from>
    <xdr:to>
      <xdr:col>8</xdr:col>
      <xdr:colOff>142875</xdr:colOff>
      <xdr:row>61</xdr:row>
      <xdr:rowOff>133350</xdr:rowOff>
    </xdr:to>
    <xdr:sp macro="" textlink="">
      <xdr:nvSpPr>
        <xdr:cNvPr id="74" name="TextBox 73"/>
        <xdr:cNvSpPr txBox="1"/>
      </xdr:nvSpPr>
      <xdr:spPr>
        <a:xfrm>
          <a:off x="5153025" y="11534775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=</a:t>
          </a:r>
        </a:p>
      </xdr:txBody>
    </xdr:sp>
    <xdr:clientData/>
  </xdr:twoCellAnchor>
  <xdr:twoCellAnchor>
    <xdr:from>
      <xdr:col>7</xdr:col>
      <xdr:colOff>514350</xdr:colOff>
      <xdr:row>111</xdr:row>
      <xdr:rowOff>161925</xdr:rowOff>
    </xdr:from>
    <xdr:to>
      <xdr:col>8</xdr:col>
      <xdr:colOff>66675</xdr:colOff>
      <xdr:row>113</xdr:row>
      <xdr:rowOff>133350</xdr:rowOff>
    </xdr:to>
    <xdr:sp macro="" textlink="">
      <xdr:nvSpPr>
        <xdr:cNvPr id="75" name="TextBox 73"/>
        <xdr:cNvSpPr txBox="1"/>
      </xdr:nvSpPr>
      <xdr:spPr>
        <a:xfrm>
          <a:off x="5076825" y="21564600"/>
          <a:ext cx="200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100"/>
            <a:t>=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85725</xdr:rowOff>
    </xdr:from>
    <xdr:to>
      <xdr:col>9</xdr:col>
      <xdr:colOff>590550</xdr:colOff>
      <xdr:row>9</xdr:row>
      <xdr:rowOff>99391</xdr:rowOff>
    </xdr:to>
    <xdr:sp macro="" textlink="">
      <xdr:nvSpPr>
        <xdr:cNvPr id="2" name="TextBox 1"/>
        <xdr:cNvSpPr txBox="1"/>
      </xdr:nvSpPr>
      <xdr:spPr>
        <a:xfrm>
          <a:off x="333375" y="276225"/>
          <a:ext cx="6071566" cy="1537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400" b="1">
              <a:solidFill>
                <a:schemeClr val="dk1"/>
              </a:solidFill>
              <a:latin typeface="+mn-lt"/>
              <a:ea typeface="+mn-ea"/>
              <a:cs typeface="+mn-cs"/>
            </a:rPr>
            <a:t>Уточнённый расчет потокораздела с учетом фактических значений   сопротивлений участков, а также величин зарядной мощности ЛЭП.</a:t>
          </a:r>
          <a:endParaRPr lang="ru-RU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lang="ru-RU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Потери рассчитываются по потоку мощности в конце элемента.</a:t>
          </a: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Для нахождения мощностей кольцевой схемы, разбиваем замкнутую сеть по источнику      питания, представляя её как сеть с двухсторонним питанием с напряжением в точках питания совпадающим по величине и по фазе.</a:t>
          </a:r>
        </a:p>
        <a:p>
          <a:endParaRPr lang="ru-RU" sz="1100"/>
        </a:p>
      </xdr:txBody>
    </xdr:sp>
    <xdr:clientData/>
  </xdr:twoCellAnchor>
  <xdr:twoCellAnchor>
    <xdr:from>
      <xdr:col>1</xdr:col>
      <xdr:colOff>3572</xdr:colOff>
      <xdr:row>13</xdr:row>
      <xdr:rowOff>9525</xdr:rowOff>
    </xdr:from>
    <xdr:to>
      <xdr:col>1</xdr:col>
      <xdr:colOff>642937</xdr:colOff>
      <xdr:row>13</xdr:row>
      <xdr:rowOff>11113</xdr:rowOff>
    </xdr:to>
    <xdr:cxnSp macro="">
      <xdr:nvCxnSpPr>
        <xdr:cNvPr id="4" name="Прямая соединительная линия 3"/>
        <xdr:cNvCxnSpPr/>
      </xdr:nvCxnSpPr>
      <xdr:spPr>
        <a:xfrm>
          <a:off x="652463" y="2486025"/>
          <a:ext cx="639365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637443</xdr:colOff>
      <xdr:row>12</xdr:row>
      <xdr:rowOff>139212</xdr:rowOff>
    </xdr:from>
    <xdr:to>
      <xdr:col>2</xdr:col>
      <xdr:colOff>454270</xdr:colOff>
      <xdr:row>13</xdr:row>
      <xdr:rowOff>65942</xdr:rowOff>
    </xdr:to>
    <xdr:sp macro="" textlink="">
      <xdr:nvSpPr>
        <xdr:cNvPr id="6" name="Прямоугольник 5"/>
        <xdr:cNvSpPr/>
      </xdr:nvSpPr>
      <xdr:spPr>
        <a:xfrm>
          <a:off x="1282212" y="2425212"/>
          <a:ext cx="461596" cy="1172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</xdr:col>
      <xdr:colOff>461047</xdr:colOff>
      <xdr:row>13</xdr:row>
      <xdr:rowOff>7327</xdr:rowOff>
    </xdr:from>
    <xdr:to>
      <xdr:col>4</xdr:col>
      <xdr:colOff>543148</xdr:colOff>
      <xdr:row>13</xdr:row>
      <xdr:rowOff>9525</xdr:rowOff>
    </xdr:to>
    <xdr:cxnSp macro="">
      <xdr:nvCxnSpPr>
        <xdr:cNvPr id="7" name="Прямая соединительная линия 6"/>
        <xdr:cNvCxnSpPr>
          <a:endCxn id="8" idx="1"/>
        </xdr:cNvCxnSpPr>
      </xdr:nvCxnSpPr>
      <xdr:spPr>
        <a:xfrm flipV="1">
          <a:off x="1761702" y="2483827"/>
          <a:ext cx="1382756" cy="219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543148</xdr:colOff>
      <xdr:row>12</xdr:row>
      <xdr:rowOff>139212</xdr:rowOff>
    </xdr:from>
    <xdr:to>
      <xdr:col>5</xdr:col>
      <xdr:colOff>359974</xdr:colOff>
      <xdr:row>13</xdr:row>
      <xdr:rowOff>65942</xdr:rowOff>
    </xdr:to>
    <xdr:sp macro="" textlink="">
      <xdr:nvSpPr>
        <xdr:cNvPr id="8" name="Прямоугольник 7"/>
        <xdr:cNvSpPr/>
      </xdr:nvSpPr>
      <xdr:spPr>
        <a:xfrm>
          <a:off x="3127322" y="2425212"/>
          <a:ext cx="462869" cy="1172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418909</xdr:colOff>
      <xdr:row>12</xdr:row>
      <xdr:rowOff>139212</xdr:rowOff>
    </xdr:from>
    <xdr:to>
      <xdr:col>8</xdr:col>
      <xdr:colOff>235734</xdr:colOff>
      <xdr:row>13</xdr:row>
      <xdr:rowOff>65942</xdr:rowOff>
    </xdr:to>
    <xdr:sp macro="" textlink="">
      <xdr:nvSpPr>
        <xdr:cNvPr id="9" name="Прямоугольник 8"/>
        <xdr:cNvSpPr/>
      </xdr:nvSpPr>
      <xdr:spPr>
        <a:xfrm>
          <a:off x="4941213" y="2425212"/>
          <a:ext cx="462869" cy="1172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349374</xdr:colOff>
      <xdr:row>13</xdr:row>
      <xdr:rowOff>7327</xdr:rowOff>
    </xdr:from>
    <xdr:to>
      <xdr:col>7</xdr:col>
      <xdr:colOff>431475</xdr:colOff>
      <xdr:row>13</xdr:row>
      <xdr:rowOff>9525</xdr:rowOff>
    </xdr:to>
    <xdr:cxnSp macro="">
      <xdr:nvCxnSpPr>
        <xdr:cNvPr id="11" name="Прямая соединительная линия 10"/>
        <xdr:cNvCxnSpPr/>
      </xdr:nvCxnSpPr>
      <xdr:spPr>
        <a:xfrm flipV="1">
          <a:off x="3601012" y="2483827"/>
          <a:ext cx="1382756" cy="219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231933</xdr:colOff>
      <xdr:row>13</xdr:row>
      <xdr:rowOff>7354</xdr:rowOff>
    </xdr:from>
    <xdr:to>
      <xdr:col>9</xdr:col>
      <xdr:colOff>165652</xdr:colOff>
      <xdr:row>13</xdr:row>
      <xdr:rowOff>9525</xdr:rowOff>
    </xdr:to>
    <xdr:cxnSp macro="">
      <xdr:nvCxnSpPr>
        <xdr:cNvPr id="12" name="Прямая соединительная линия 11"/>
        <xdr:cNvCxnSpPr/>
      </xdr:nvCxnSpPr>
      <xdr:spPr>
        <a:xfrm flipV="1">
          <a:off x="5400281" y="2483854"/>
          <a:ext cx="579762" cy="217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545859</xdr:colOff>
      <xdr:row>13</xdr:row>
      <xdr:rowOff>9077</xdr:rowOff>
    </xdr:from>
    <xdr:to>
      <xdr:col>3</xdr:col>
      <xdr:colOff>547447</xdr:colOff>
      <xdr:row>16</xdr:row>
      <xdr:rowOff>9077</xdr:rowOff>
    </xdr:to>
    <xdr:cxnSp macro="">
      <xdr:nvCxnSpPr>
        <xdr:cNvPr id="16" name="Прямая со стрелкой 15"/>
        <xdr:cNvCxnSpPr/>
      </xdr:nvCxnSpPr>
      <xdr:spPr>
        <a:xfrm rot="5400000">
          <a:off x="2199033" y="2770533"/>
          <a:ext cx="571500" cy="1588"/>
        </a:xfrm>
        <a:prstGeom prst="straightConnector1">
          <a:avLst/>
        </a:prstGeom>
        <a:ln w="1905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446468</xdr:colOff>
      <xdr:row>13</xdr:row>
      <xdr:rowOff>9077</xdr:rowOff>
    </xdr:from>
    <xdr:to>
      <xdr:col>6</xdr:col>
      <xdr:colOff>448056</xdr:colOff>
      <xdr:row>16</xdr:row>
      <xdr:rowOff>9077</xdr:rowOff>
    </xdr:to>
    <xdr:cxnSp macro="">
      <xdr:nvCxnSpPr>
        <xdr:cNvPr id="17" name="Прямая со стрелкой 16"/>
        <xdr:cNvCxnSpPr/>
      </xdr:nvCxnSpPr>
      <xdr:spPr>
        <a:xfrm rot="5400000">
          <a:off x="4037773" y="2770533"/>
          <a:ext cx="571500" cy="1588"/>
        </a:xfrm>
        <a:prstGeom prst="straightConnector1">
          <a:avLst/>
        </a:prstGeom>
        <a:ln w="1905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645250</xdr:colOff>
      <xdr:row>11</xdr:row>
      <xdr:rowOff>174728</xdr:rowOff>
    </xdr:from>
    <xdr:to>
      <xdr:col>1</xdr:col>
      <xdr:colOff>795</xdr:colOff>
      <xdr:row>14</xdr:row>
      <xdr:rowOff>793</xdr:rowOff>
    </xdr:to>
    <xdr:cxnSp macro="">
      <xdr:nvCxnSpPr>
        <xdr:cNvPr id="19" name="Прямая соединительная линия 18"/>
        <xdr:cNvCxnSpPr/>
      </xdr:nvCxnSpPr>
      <xdr:spPr>
        <a:xfrm rot="5400000">
          <a:off x="447261" y="2468217"/>
          <a:ext cx="397565" cy="1588"/>
        </a:xfrm>
        <a:prstGeom prst="line">
          <a:avLst/>
        </a:prstGeom>
        <a:ln w="19050"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173144</xdr:colOff>
      <xdr:row>11</xdr:row>
      <xdr:rowOff>174729</xdr:rowOff>
    </xdr:from>
    <xdr:to>
      <xdr:col>9</xdr:col>
      <xdr:colOff>174732</xdr:colOff>
      <xdr:row>14</xdr:row>
      <xdr:rowOff>794</xdr:rowOff>
    </xdr:to>
    <xdr:cxnSp macro="">
      <xdr:nvCxnSpPr>
        <xdr:cNvPr id="21" name="Прямая соединительная линия 20"/>
        <xdr:cNvCxnSpPr/>
      </xdr:nvCxnSpPr>
      <xdr:spPr>
        <a:xfrm rot="5400000">
          <a:off x="5789546" y="2468218"/>
          <a:ext cx="397565" cy="1588"/>
        </a:xfrm>
        <a:prstGeom prst="line">
          <a:avLst/>
        </a:prstGeom>
        <a:ln w="19050"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</xdr:colOff>
      <xdr:row>13</xdr:row>
      <xdr:rowOff>11905</xdr:rowOff>
    </xdr:from>
    <xdr:to>
      <xdr:col>1</xdr:col>
      <xdr:colOff>248014</xdr:colOff>
      <xdr:row>16</xdr:row>
      <xdr:rowOff>793</xdr:rowOff>
    </xdr:to>
    <xdr:grpSp>
      <xdr:nvGrpSpPr>
        <xdr:cNvPr id="28" name="Группа 27"/>
        <xdr:cNvGrpSpPr/>
      </xdr:nvGrpSpPr>
      <xdr:grpSpPr>
        <a:xfrm>
          <a:off x="640082" y="2386297"/>
          <a:ext cx="260204" cy="540576"/>
          <a:chOff x="646045" y="2488405"/>
          <a:chExt cx="357309" cy="560388"/>
        </a:xfrm>
      </xdr:grpSpPr>
      <xdr:cxnSp macro="">
        <xdr:nvCxnSpPr>
          <xdr:cNvPr id="25" name="Прямая соединительная линия 24"/>
          <xdr:cNvCxnSpPr/>
        </xdr:nvCxnSpPr>
        <xdr:spPr>
          <a:xfrm rot="16200000" flipH="1">
            <a:off x="636556" y="2497894"/>
            <a:ext cx="376287" cy="357309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Прямая со стрелкой 26"/>
          <xdr:cNvCxnSpPr/>
        </xdr:nvCxnSpPr>
        <xdr:spPr>
          <a:xfrm rot="16200000" flipH="1">
            <a:off x="908589" y="2954944"/>
            <a:ext cx="184832" cy="2866"/>
          </a:xfrm>
          <a:prstGeom prst="straightConnector1">
            <a:avLst/>
          </a:prstGeom>
          <a:ln w="19050"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571502</xdr:colOff>
      <xdr:row>13</xdr:row>
      <xdr:rowOff>11905</xdr:rowOff>
    </xdr:from>
    <xdr:to>
      <xdr:col>9</xdr:col>
      <xdr:colOff>173471</xdr:colOff>
      <xdr:row>16</xdr:row>
      <xdr:rowOff>793</xdr:rowOff>
    </xdr:to>
    <xdr:grpSp>
      <xdr:nvGrpSpPr>
        <xdr:cNvPr id="33" name="Группа 32"/>
        <xdr:cNvGrpSpPr/>
      </xdr:nvGrpSpPr>
      <xdr:grpSpPr>
        <a:xfrm flipH="1">
          <a:off x="5966462" y="2386297"/>
          <a:ext cx="220713" cy="540576"/>
          <a:chOff x="646045" y="2488405"/>
          <a:chExt cx="357309" cy="560388"/>
        </a:xfrm>
      </xdr:grpSpPr>
      <xdr:cxnSp macro="">
        <xdr:nvCxnSpPr>
          <xdr:cNvPr id="34" name="Прямая соединительная линия 33"/>
          <xdr:cNvCxnSpPr/>
        </xdr:nvCxnSpPr>
        <xdr:spPr>
          <a:xfrm rot="16200000" flipH="1">
            <a:off x="636556" y="2497894"/>
            <a:ext cx="376287" cy="357309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Прямая со стрелкой 34"/>
          <xdr:cNvCxnSpPr/>
        </xdr:nvCxnSpPr>
        <xdr:spPr>
          <a:xfrm rot="16200000" flipH="1">
            <a:off x="908589" y="2954944"/>
            <a:ext cx="184832" cy="2866"/>
          </a:xfrm>
          <a:prstGeom prst="straightConnector1">
            <a:avLst/>
          </a:prstGeom>
          <a:ln w="19050"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8281</xdr:colOff>
      <xdr:row>12</xdr:row>
      <xdr:rowOff>16565</xdr:rowOff>
    </xdr:from>
    <xdr:to>
      <xdr:col>2</xdr:col>
      <xdr:colOff>480390</xdr:colOff>
      <xdr:row>12</xdr:row>
      <xdr:rowOff>18153</xdr:rowOff>
    </xdr:to>
    <xdr:cxnSp macro="">
      <xdr:nvCxnSpPr>
        <xdr:cNvPr id="37" name="Прямая со стрелкой 36"/>
        <xdr:cNvCxnSpPr/>
      </xdr:nvCxnSpPr>
      <xdr:spPr>
        <a:xfrm>
          <a:off x="1300368" y="2302565"/>
          <a:ext cx="472109" cy="1588"/>
        </a:xfrm>
        <a:prstGeom prst="straightConnector1">
          <a:avLst/>
        </a:prstGeom>
        <a:ln w="1905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538368</xdr:colOff>
      <xdr:row>12</xdr:row>
      <xdr:rowOff>16565</xdr:rowOff>
    </xdr:from>
    <xdr:to>
      <xdr:col>5</xdr:col>
      <xdr:colOff>364434</xdr:colOff>
      <xdr:row>12</xdr:row>
      <xdr:rowOff>18153</xdr:rowOff>
    </xdr:to>
    <xdr:cxnSp macro="">
      <xdr:nvCxnSpPr>
        <xdr:cNvPr id="38" name="Прямая со стрелкой 37"/>
        <xdr:cNvCxnSpPr/>
      </xdr:nvCxnSpPr>
      <xdr:spPr>
        <a:xfrm>
          <a:off x="3122542" y="2302565"/>
          <a:ext cx="472109" cy="1588"/>
        </a:xfrm>
        <a:prstGeom prst="straightConnector1">
          <a:avLst/>
        </a:prstGeom>
        <a:ln w="19050">
          <a:headEnd type="stealth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414129</xdr:colOff>
      <xdr:row>12</xdr:row>
      <xdr:rowOff>16565</xdr:rowOff>
    </xdr:from>
    <xdr:to>
      <xdr:col>8</xdr:col>
      <xdr:colOff>240194</xdr:colOff>
      <xdr:row>12</xdr:row>
      <xdr:rowOff>18153</xdr:rowOff>
    </xdr:to>
    <xdr:cxnSp macro="">
      <xdr:nvCxnSpPr>
        <xdr:cNvPr id="39" name="Прямая со стрелкой 38"/>
        <xdr:cNvCxnSpPr/>
      </xdr:nvCxnSpPr>
      <xdr:spPr>
        <a:xfrm>
          <a:off x="4936433" y="2302565"/>
          <a:ext cx="472109" cy="1588"/>
        </a:xfrm>
        <a:prstGeom prst="straightConnector1">
          <a:avLst/>
        </a:prstGeom>
        <a:ln w="19050">
          <a:headEnd type="stealth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356152</xdr:colOff>
      <xdr:row>12</xdr:row>
      <xdr:rowOff>66259</xdr:rowOff>
    </xdr:from>
    <xdr:to>
      <xdr:col>0</xdr:col>
      <xdr:colOff>629478</xdr:colOff>
      <xdr:row>13</xdr:row>
      <xdr:rowOff>87284</xdr:rowOff>
    </xdr:to>
    <xdr:sp macro="" textlink="">
      <xdr:nvSpPr>
        <xdr:cNvPr id="40" name="TextBox 39"/>
        <xdr:cNvSpPr txBox="1"/>
      </xdr:nvSpPr>
      <xdr:spPr>
        <a:xfrm>
          <a:off x="356152" y="2352259"/>
          <a:ext cx="273326" cy="21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9</xdr:col>
      <xdr:colOff>198781</xdr:colOff>
      <xdr:row>12</xdr:row>
      <xdr:rowOff>66259</xdr:rowOff>
    </xdr:from>
    <xdr:to>
      <xdr:col>9</xdr:col>
      <xdr:colOff>496957</xdr:colOff>
      <xdr:row>13</xdr:row>
      <xdr:rowOff>87284</xdr:rowOff>
    </xdr:to>
    <xdr:sp macro="" textlink="">
      <xdr:nvSpPr>
        <xdr:cNvPr id="41" name="TextBox 40"/>
        <xdr:cNvSpPr txBox="1"/>
      </xdr:nvSpPr>
      <xdr:spPr>
        <a:xfrm>
          <a:off x="6013172" y="2352259"/>
          <a:ext cx="298176" cy="21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1'</a:t>
          </a:r>
          <a:endParaRPr lang="ru-RU" sz="1100"/>
        </a:p>
      </xdr:txBody>
    </xdr:sp>
    <xdr:clientData/>
  </xdr:twoCellAnchor>
  <xdr:twoCellAnchor>
    <xdr:from>
      <xdr:col>3</xdr:col>
      <xdr:colOff>422413</xdr:colOff>
      <xdr:row>11</xdr:row>
      <xdr:rowOff>57976</xdr:rowOff>
    </xdr:from>
    <xdr:to>
      <xdr:col>4</xdr:col>
      <xdr:colOff>49695</xdr:colOff>
      <xdr:row>12</xdr:row>
      <xdr:rowOff>79001</xdr:rowOff>
    </xdr:to>
    <xdr:sp macro="" textlink="">
      <xdr:nvSpPr>
        <xdr:cNvPr id="42" name="TextBox 41"/>
        <xdr:cNvSpPr txBox="1"/>
      </xdr:nvSpPr>
      <xdr:spPr>
        <a:xfrm>
          <a:off x="2360543" y="2153476"/>
          <a:ext cx="273326" cy="21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6</xdr:col>
      <xdr:colOff>314739</xdr:colOff>
      <xdr:row>11</xdr:row>
      <xdr:rowOff>57976</xdr:rowOff>
    </xdr:from>
    <xdr:to>
      <xdr:col>6</xdr:col>
      <xdr:colOff>588065</xdr:colOff>
      <xdr:row>12</xdr:row>
      <xdr:rowOff>79001</xdr:rowOff>
    </xdr:to>
    <xdr:sp macro="" textlink="">
      <xdr:nvSpPr>
        <xdr:cNvPr id="43" name="TextBox 42"/>
        <xdr:cNvSpPr txBox="1"/>
      </xdr:nvSpPr>
      <xdr:spPr>
        <a:xfrm>
          <a:off x="4191000" y="2153476"/>
          <a:ext cx="273326" cy="21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4</a:t>
          </a:r>
        </a:p>
      </xdr:txBody>
    </xdr:sp>
    <xdr:clientData/>
  </xdr:twoCellAnchor>
  <xdr:twoCellAnchor>
    <xdr:from>
      <xdr:col>4</xdr:col>
      <xdr:colOff>637761</xdr:colOff>
      <xdr:row>10</xdr:row>
      <xdr:rowOff>157369</xdr:rowOff>
    </xdr:from>
    <xdr:to>
      <xdr:col>5</xdr:col>
      <xdr:colOff>277468</xdr:colOff>
      <xdr:row>12</xdr:row>
      <xdr:rowOff>4969</xdr:rowOff>
    </xdr:to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221935" y="2062369"/>
          <a:ext cx="285750" cy="228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91108</xdr:colOff>
      <xdr:row>10</xdr:row>
      <xdr:rowOff>149087</xdr:rowOff>
    </xdr:from>
    <xdr:to>
      <xdr:col>2</xdr:col>
      <xdr:colOff>367333</xdr:colOff>
      <xdr:row>11</xdr:row>
      <xdr:rowOff>187187</xdr:rowOff>
    </xdr:to>
    <xdr:pic>
      <xdr:nvPicPr>
        <xdr:cNvPr id="717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83195" y="2054087"/>
          <a:ext cx="276225" cy="2286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538369</xdr:colOff>
      <xdr:row>10</xdr:row>
      <xdr:rowOff>157371</xdr:rowOff>
    </xdr:from>
    <xdr:to>
      <xdr:col>8</xdr:col>
      <xdr:colOff>178075</xdr:colOff>
      <xdr:row>12</xdr:row>
      <xdr:rowOff>4971</xdr:rowOff>
    </xdr:to>
    <xdr:pic>
      <xdr:nvPicPr>
        <xdr:cNvPr id="717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060673" y="2062371"/>
          <a:ext cx="285750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66261</xdr:colOff>
      <xdr:row>16</xdr:row>
      <xdr:rowOff>91109</xdr:rowOff>
    </xdr:from>
    <xdr:to>
      <xdr:col>1</xdr:col>
      <xdr:colOff>399636</xdr:colOff>
      <xdr:row>18</xdr:row>
      <xdr:rowOff>81584</xdr:rowOff>
    </xdr:to>
    <xdr:pic>
      <xdr:nvPicPr>
        <xdr:cNvPr id="717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12304" y="3139109"/>
          <a:ext cx="333375" cy="371475"/>
        </a:xfrm>
        <a:prstGeom prst="rect">
          <a:avLst/>
        </a:prstGeom>
        <a:noFill/>
      </xdr:spPr>
    </xdr:pic>
    <xdr:clientData/>
  </xdr:twoCellAnchor>
  <xdr:twoCellAnchor>
    <xdr:from>
      <xdr:col>8</xdr:col>
      <xdr:colOff>414130</xdr:colOff>
      <xdr:row>16</xdr:row>
      <xdr:rowOff>74544</xdr:rowOff>
    </xdr:from>
    <xdr:to>
      <xdr:col>9</xdr:col>
      <xdr:colOff>101462</xdr:colOff>
      <xdr:row>18</xdr:row>
      <xdr:rowOff>65019</xdr:rowOff>
    </xdr:to>
    <xdr:pic>
      <xdr:nvPicPr>
        <xdr:cNvPr id="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582478" y="3122544"/>
          <a:ext cx="333375" cy="3714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405848</xdr:colOff>
      <xdr:row>16</xdr:row>
      <xdr:rowOff>0</xdr:rowOff>
    </xdr:from>
    <xdr:to>
      <xdr:col>4</xdr:col>
      <xdr:colOff>69159</xdr:colOff>
      <xdr:row>17</xdr:row>
      <xdr:rowOff>38100</xdr:rowOff>
    </xdr:to>
    <xdr:pic>
      <xdr:nvPicPr>
        <xdr:cNvPr id="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343978" y="3048000"/>
          <a:ext cx="309355" cy="2286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323021</xdr:colOff>
      <xdr:row>16</xdr:row>
      <xdr:rowOff>0</xdr:rowOff>
    </xdr:from>
    <xdr:to>
      <xdr:col>6</xdr:col>
      <xdr:colOff>599245</xdr:colOff>
      <xdr:row>17</xdr:row>
      <xdr:rowOff>38100</xdr:rowOff>
    </xdr:to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199282" y="3048000"/>
          <a:ext cx="276224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447675</xdr:colOff>
      <xdr:row>23</xdr:row>
      <xdr:rowOff>38100</xdr:rowOff>
    </xdr:to>
    <xdr:pic>
      <xdr:nvPicPr>
        <xdr:cNvPr id="717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95400" y="4200525"/>
          <a:ext cx="447675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447675</xdr:colOff>
      <xdr:row>24</xdr:row>
      <xdr:rowOff>38100</xdr:rowOff>
    </xdr:to>
    <xdr:pic>
      <xdr:nvPicPr>
        <xdr:cNvPr id="717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95400" y="4391025"/>
          <a:ext cx="447675" cy="2286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447675</xdr:colOff>
      <xdr:row>25</xdr:row>
      <xdr:rowOff>38100</xdr:rowOff>
    </xdr:to>
    <xdr:pic>
      <xdr:nvPicPr>
        <xdr:cNvPr id="717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95400" y="4581525"/>
          <a:ext cx="447675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413176</xdr:colOff>
      <xdr:row>25</xdr:row>
      <xdr:rowOff>0</xdr:rowOff>
    </xdr:from>
    <xdr:to>
      <xdr:col>4</xdr:col>
      <xdr:colOff>451275</xdr:colOff>
      <xdr:row>26</xdr:row>
      <xdr:rowOff>66675</xdr:rowOff>
    </xdr:to>
    <xdr:pic>
      <xdr:nvPicPr>
        <xdr:cNvPr id="717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351306" y="4770783"/>
          <a:ext cx="684143" cy="2571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502611</xdr:colOff>
      <xdr:row>10</xdr:row>
      <xdr:rowOff>171914</xdr:rowOff>
    </xdr:from>
    <xdr:to>
      <xdr:col>3</xdr:col>
      <xdr:colOff>594731</xdr:colOff>
      <xdr:row>11</xdr:row>
      <xdr:rowOff>49694</xdr:rowOff>
    </xdr:to>
    <xdr:sp macro="" textlink="">
      <xdr:nvSpPr>
        <xdr:cNvPr id="60" name="Равнобедренный треугольник 59"/>
        <xdr:cNvSpPr/>
      </xdr:nvSpPr>
      <xdr:spPr>
        <a:xfrm flipV="1">
          <a:off x="2440135" y="2076914"/>
          <a:ext cx="92120" cy="6828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</xdr:col>
      <xdr:colOff>3572</xdr:colOff>
      <xdr:row>42</xdr:row>
      <xdr:rowOff>9525</xdr:rowOff>
    </xdr:from>
    <xdr:to>
      <xdr:col>1</xdr:col>
      <xdr:colOff>642937</xdr:colOff>
      <xdr:row>42</xdr:row>
      <xdr:rowOff>11113</xdr:rowOff>
    </xdr:to>
    <xdr:cxnSp macro="">
      <xdr:nvCxnSpPr>
        <xdr:cNvPr id="44" name="Прямая соединительная линия 43"/>
        <xdr:cNvCxnSpPr/>
      </xdr:nvCxnSpPr>
      <xdr:spPr>
        <a:xfrm>
          <a:off x="651272" y="2486025"/>
          <a:ext cx="639365" cy="158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637443</xdr:colOff>
      <xdr:row>41</xdr:row>
      <xdr:rowOff>139212</xdr:rowOff>
    </xdr:from>
    <xdr:to>
      <xdr:col>2</xdr:col>
      <xdr:colOff>454270</xdr:colOff>
      <xdr:row>42</xdr:row>
      <xdr:rowOff>65942</xdr:rowOff>
    </xdr:to>
    <xdr:sp macro="" textlink="">
      <xdr:nvSpPr>
        <xdr:cNvPr id="45" name="Прямоугольник 44"/>
        <xdr:cNvSpPr/>
      </xdr:nvSpPr>
      <xdr:spPr>
        <a:xfrm>
          <a:off x="1285143" y="2425212"/>
          <a:ext cx="464527" cy="1172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</xdr:col>
      <xdr:colOff>461047</xdr:colOff>
      <xdr:row>42</xdr:row>
      <xdr:rowOff>9525</xdr:rowOff>
    </xdr:from>
    <xdr:to>
      <xdr:col>3</xdr:col>
      <xdr:colOff>527957</xdr:colOff>
      <xdr:row>42</xdr:row>
      <xdr:rowOff>10885</xdr:rowOff>
    </xdr:to>
    <xdr:cxnSp macro="">
      <xdr:nvCxnSpPr>
        <xdr:cNvPr id="46" name="Прямая соединительная линия 45"/>
        <xdr:cNvCxnSpPr/>
      </xdr:nvCxnSpPr>
      <xdr:spPr>
        <a:xfrm>
          <a:off x="1756447" y="8021411"/>
          <a:ext cx="714610" cy="136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543148</xdr:colOff>
      <xdr:row>41</xdr:row>
      <xdr:rowOff>139212</xdr:rowOff>
    </xdr:from>
    <xdr:to>
      <xdr:col>5</xdr:col>
      <xdr:colOff>359974</xdr:colOff>
      <xdr:row>42</xdr:row>
      <xdr:rowOff>65942</xdr:rowOff>
    </xdr:to>
    <xdr:sp macro="" textlink="">
      <xdr:nvSpPr>
        <xdr:cNvPr id="47" name="Прямоугольник 46"/>
        <xdr:cNvSpPr/>
      </xdr:nvSpPr>
      <xdr:spPr>
        <a:xfrm>
          <a:off x="3133948" y="2425212"/>
          <a:ext cx="464526" cy="1172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418909</xdr:colOff>
      <xdr:row>41</xdr:row>
      <xdr:rowOff>139212</xdr:rowOff>
    </xdr:from>
    <xdr:to>
      <xdr:col>8</xdr:col>
      <xdr:colOff>235734</xdr:colOff>
      <xdr:row>42</xdr:row>
      <xdr:rowOff>65942</xdr:rowOff>
    </xdr:to>
    <xdr:sp macro="" textlink="">
      <xdr:nvSpPr>
        <xdr:cNvPr id="48" name="Прямоугольник 47"/>
        <xdr:cNvSpPr/>
      </xdr:nvSpPr>
      <xdr:spPr>
        <a:xfrm>
          <a:off x="4952809" y="2425212"/>
          <a:ext cx="464525" cy="1172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349374</xdr:colOff>
      <xdr:row>42</xdr:row>
      <xdr:rowOff>7327</xdr:rowOff>
    </xdr:from>
    <xdr:to>
      <xdr:col>7</xdr:col>
      <xdr:colOff>431475</xdr:colOff>
      <xdr:row>42</xdr:row>
      <xdr:rowOff>9525</xdr:rowOff>
    </xdr:to>
    <xdr:cxnSp macro="">
      <xdr:nvCxnSpPr>
        <xdr:cNvPr id="52" name="Прямая соединительная линия 51"/>
        <xdr:cNvCxnSpPr/>
      </xdr:nvCxnSpPr>
      <xdr:spPr>
        <a:xfrm flipV="1">
          <a:off x="3587874" y="2483827"/>
          <a:ext cx="1377501" cy="219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231933</xdr:colOff>
      <xdr:row>42</xdr:row>
      <xdr:rowOff>7354</xdr:rowOff>
    </xdr:from>
    <xdr:to>
      <xdr:col>9</xdr:col>
      <xdr:colOff>165652</xdr:colOff>
      <xdr:row>42</xdr:row>
      <xdr:rowOff>9525</xdr:rowOff>
    </xdr:to>
    <xdr:cxnSp macro="">
      <xdr:nvCxnSpPr>
        <xdr:cNvPr id="53" name="Прямая соединительная линия 52"/>
        <xdr:cNvCxnSpPr/>
      </xdr:nvCxnSpPr>
      <xdr:spPr>
        <a:xfrm flipV="1">
          <a:off x="5413533" y="2483854"/>
          <a:ext cx="581419" cy="217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591121</xdr:colOff>
      <xdr:row>42</xdr:row>
      <xdr:rowOff>9077</xdr:rowOff>
    </xdr:from>
    <xdr:to>
      <xdr:col>3</xdr:col>
      <xdr:colOff>592709</xdr:colOff>
      <xdr:row>45</xdr:row>
      <xdr:rowOff>9077</xdr:rowOff>
    </xdr:to>
    <xdr:cxnSp macro="">
      <xdr:nvCxnSpPr>
        <xdr:cNvPr id="54" name="Прямая со стрелкой 53"/>
        <xdr:cNvCxnSpPr/>
      </xdr:nvCxnSpPr>
      <xdr:spPr>
        <a:xfrm rot="5400000">
          <a:off x="2246257" y="8305059"/>
          <a:ext cx="571500" cy="1588"/>
        </a:xfrm>
        <a:prstGeom prst="straightConnector1">
          <a:avLst/>
        </a:prstGeom>
        <a:ln w="1905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446468</xdr:colOff>
      <xdr:row>42</xdr:row>
      <xdr:rowOff>9077</xdr:rowOff>
    </xdr:from>
    <xdr:to>
      <xdr:col>6</xdr:col>
      <xdr:colOff>448056</xdr:colOff>
      <xdr:row>45</xdr:row>
      <xdr:rowOff>9077</xdr:rowOff>
    </xdr:to>
    <xdr:cxnSp macro="">
      <xdr:nvCxnSpPr>
        <xdr:cNvPr id="55" name="Прямая со стрелкой 54"/>
        <xdr:cNvCxnSpPr/>
      </xdr:nvCxnSpPr>
      <xdr:spPr>
        <a:xfrm rot="5400000">
          <a:off x="4047712" y="2770533"/>
          <a:ext cx="571500" cy="1588"/>
        </a:xfrm>
        <a:prstGeom prst="straightConnector1">
          <a:avLst/>
        </a:prstGeom>
        <a:ln w="1905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645250</xdr:colOff>
      <xdr:row>40</xdr:row>
      <xdr:rowOff>174728</xdr:rowOff>
    </xdr:from>
    <xdr:to>
      <xdr:col>1</xdr:col>
      <xdr:colOff>795</xdr:colOff>
      <xdr:row>43</xdr:row>
      <xdr:rowOff>793</xdr:rowOff>
    </xdr:to>
    <xdr:cxnSp macro="">
      <xdr:nvCxnSpPr>
        <xdr:cNvPr id="56" name="Прямая соединительная линия 55"/>
        <xdr:cNvCxnSpPr/>
      </xdr:nvCxnSpPr>
      <xdr:spPr>
        <a:xfrm rot="5400000">
          <a:off x="448090" y="2467388"/>
          <a:ext cx="397565" cy="3245"/>
        </a:xfrm>
        <a:prstGeom prst="line">
          <a:avLst/>
        </a:prstGeom>
        <a:ln w="19050"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173144</xdr:colOff>
      <xdr:row>40</xdr:row>
      <xdr:rowOff>174729</xdr:rowOff>
    </xdr:from>
    <xdr:to>
      <xdr:col>9</xdr:col>
      <xdr:colOff>174732</xdr:colOff>
      <xdr:row>43</xdr:row>
      <xdr:rowOff>794</xdr:rowOff>
    </xdr:to>
    <xdr:cxnSp macro="">
      <xdr:nvCxnSpPr>
        <xdr:cNvPr id="57" name="Прямая соединительная линия 56"/>
        <xdr:cNvCxnSpPr/>
      </xdr:nvCxnSpPr>
      <xdr:spPr>
        <a:xfrm rot="5400000">
          <a:off x="5804455" y="2468218"/>
          <a:ext cx="397565" cy="1588"/>
        </a:xfrm>
        <a:prstGeom prst="line">
          <a:avLst/>
        </a:prstGeom>
        <a:ln w="19050"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</xdr:colOff>
      <xdr:row>42</xdr:row>
      <xdr:rowOff>11905</xdr:rowOff>
    </xdr:from>
    <xdr:to>
      <xdr:col>1</xdr:col>
      <xdr:colOff>248014</xdr:colOff>
      <xdr:row>45</xdr:row>
      <xdr:rowOff>793</xdr:rowOff>
    </xdr:to>
    <xdr:grpSp>
      <xdr:nvGrpSpPr>
        <xdr:cNvPr id="58" name="Группа 57"/>
        <xdr:cNvGrpSpPr/>
      </xdr:nvGrpSpPr>
      <xdr:grpSpPr>
        <a:xfrm>
          <a:off x="640082" y="7698961"/>
          <a:ext cx="260204" cy="540576"/>
          <a:chOff x="646045" y="2488405"/>
          <a:chExt cx="357309" cy="560388"/>
        </a:xfrm>
      </xdr:grpSpPr>
      <xdr:cxnSp macro="">
        <xdr:nvCxnSpPr>
          <xdr:cNvPr id="59" name="Прямая соединительная линия 58"/>
          <xdr:cNvCxnSpPr/>
        </xdr:nvCxnSpPr>
        <xdr:spPr>
          <a:xfrm rot="16200000" flipH="1">
            <a:off x="636556" y="2497894"/>
            <a:ext cx="376287" cy="357309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Прямая со стрелкой 60"/>
          <xdr:cNvCxnSpPr/>
        </xdr:nvCxnSpPr>
        <xdr:spPr>
          <a:xfrm rot="16200000" flipH="1">
            <a:off x="908589" y="2954944"/>
            <a:ext cx="184832" cy="2866"/>
          </a:xfrm>
          <a:prstGeom prst="straightConnector1">
            <a:avLst/>
          </a:prstGeom>
          <a:ln w="19050"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571502</xdr:colOff>
      <xdr:row>42</xdr:row>
      <xdr:rowOff>11905</xdr:rowOff>
    </xdr:from>
    <xdr:to>
      <xdr:col>9</xdr:col>
      <xdr:colOff>173471</xdr:colOff>
      <xdr:row>45</xdr:row>
      <xdr:rowOff>793</xdr:rowOff>
    </xdr:to>
    <xdr:grpSp>
      <xdr:nvGrpSpPr>
        <xdr:cNvPr id="62" name="Группа 61"/>
        <xdr:cNvGrpSpPr/>
      </xdr:nvGrpSpPr>
      <xdr:grpSpPr>
        <a:xfrm flipH="1">
          <a:off x="5966462" y="7698961"/>
          <a:ext cx="220713" cy="540576"/>
          <a:chOff x="646045" y="2488405"/>
          <a:chExt cx="357309" cy="560388"/>
        </a:xfrm>
      </xdr:grpSpPr>
      <xdr:cxnSp macro="">
        <xdr:nvCxnSpPr>
          <xdr:cNvPr id="63" name="Прямая соединительная линия 62"/>
          <xdr:cNvCxnSpPr/>
        </xdr:nvCxnSpPr>
        <xdr:spPr>
          <a:xfrm rot="16200000" flipH="1">
            <a:off x="636556" y="2497894"/>
            <a:ext cx="376287" cy="357309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Прямая со стрелкой 63"/>
          <xdr:cNvCxnSpPr/>
        </xdr:nvCxnSpPr>
        <xdr:spPr>
          <a:xfrm rot="16200000" flipH="1">
            <a:off x="908589" y="2954944"/>
            <a:ext cx="184832" cy="2866"/>
          </a:xfrm>
          <a:prstGeom prst="straightConnector1">
            <a:avLst/>
          </a:prstGeom>
          <a:ln w="19050"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8281</xdr:colOff>
      <xdr:row>41</xdr:row>
      <xdr:rowOff>16565</xdr:rowOff>
    </xdr:from>
    <xdr:to>
      <xdr:col>2</xdr:col>
      <xdr:colOff>480390</xdr:colOff>
      <xdr:row>41</xdr:row>
      <xdr:rowOff>18153</xdr:rowOff>
    </xdr:to>
    <xdr:cxnSp macro="">
      <xdr:nvCxnSpPr>
        <xdr:cNvPr id="65" name="Прямая со стрелкой 64"/>
        <xdr:cNvCxnSpPr/>
      </xdr:nvCxnSpPr>
      <xdr:spPr>
        <a:xfrm>
          <a:off x="1303681" y="2302565"/>
          <a:ext cx="472109" cy="1588"/>
        </a:xfrm>
        <a:prstGeom prst="straightConnector1">
          <a:avLst/>
        </a:prstGeom>
        <a:ln w="1905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538368</xdr:colOff>
      <xdr:row>41</xdr:row>
      <xdr:rowOff>16565</xdr:rowOff>
    </xdr:from>
    <xdr:to>
      <xdr:col>5</xdr:col>
      <xdr:colOff>364434</xdr:colOff>
      <xdr:row>41</xdr:row>
      <xdr:rowOff>18153</xdr:rowOff>
    </xdr:to>
    <xdr:cxnSp macro="">
      <xdr:nvCxnSpPr>
        <xdr:cNvPr id="66" name="Прямая со стрелкой 65"/>
        <xdr:cNvCxnSpPr/>
      </xdr:nvCxnSpPr>
      <xdr:spPr>
        <a:xfrm>
          <a:off x="3129168" y="2302565"/>
          <a:ext cx="473766" cy="1588"/>
        </a:xfrm>
        <a:prstGeom prst="straightConnector1">
          <a:avLst/>
        </a:prstGeom>
        <a:ln w="19050">
          <a:headEnd type="stealth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414129</xdr:colOff>
      <xdr:row>41</xdr:row>
      <xdr:rowOff>16565</xdr:rowOff>
    </xdr:from>
    <xdr:to>
      <xdr:col>8</xdr:col>
      <xdr:colOff>240194</xdr:colOff>
      <xdr:row>41</xdr:row>
      <xdr:rowOff>18153</xdr:rowOff>
    </xdr:to>
    <xdr:cxnSp macro="">
      <xdr:nvCxnSpPr>
        <xdr:cNvPr id="67" name="Прямая со стрелкой 66"/>
        <xdr:cNvCxnSpPr/>
      </xdr:nvCxnSpPr>
      <xdr:spPr>
        <a:xfrm>
          <a:off x="4948029" y="2302565"/>
          <a:ext cx="473765" cy="1588"/>
        </a:xfrm>
        <a:prstGeom prst="straightConnector1">
          <a:avLst/>
        </a:prstGeom>
        <a:ln w="19050">
          <a:headEnd type="stealth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356152</xdr:colOff>
      <xdr:row>41</xdr:row>
      <xdr:rowOff>66259</xdr:rowOff>
    </xdr:from>
    <xdr:to>
      <xdr:col>0</xdr:col>
      <xdr:colOff>629478</xdr:colOff>
      <xdr:row>42</xdr:row>
      <xdr:rowOff>87284</xdr:rowOff>
    </xdr:to>
    <xdr:sp macro="" textlink="">
      <xdr:nvSpPr>
        <xdr:cNvPr id="68" name="TextBox 67"/>
        <xdr:cNvSpPr txBox="1"/>
      </xdr:nvSpPr>
      <xdr:spPr>
        <a:xfrm>
          <a:off x="356152" y="2352259"/>
          <a:ext cx="273326" cy="21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9</xdr:col>
      <xdr:colOff>198781</xdr:colOff>
      <xdr:row>41</xdr:row>
      <xdr:rowOff>66259</xdr:rowOff>
    </xdr:from>
    <xdr:to>
      <xdr:col>9</xdr:col>
      <xdr:colOff>505239</xdr:colOff>
      <xdr:row>42</xdr:row>
      <xdr:rowOff>157369</xdr:rowOff>
    </xdr:to>
    <xdr:sp macro="" textlink="">
      <xdr:nvSpPr>
        <xdr:cNvPr id="69" name="TextBox 68"/>
        <xdr:cNvSpPr txBox="1"/>
      </xdr:nvSpPr>
      <xdr:spPr>
        <a:xfrm>
          <a:off x="6013172" y="7885042"/>
          <a:ext cx="306458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1'</a:t>
          </a:r>
          <a:endParaRPr lang="ru-RU" sz="1100"/>
        </a:p>
      </xdr:txBody>
    </xdr:sp>
    <xdr:clientData/>
  </xdr:twoCellAnchor>
  <xdr:twoCellAnchor>
    <xdr:from>
      <xdr:col>3</xdr:col>
      <xdr:colOff>422413</xdr:colOff>
      <xdr:row>40</xdr:row>
      <xdr:rowOff>57976</xdr:rowOff>
    </xdr:from>
    <xdr:to>
      <xdr:col>4</xdr:col>
      <xdr:colOff>49695</xdr:colOff>
      <xdr:row>41</xdr:row>
      <xdr:rowOff>79001</xdr:rowOff>
    </xdr:to>
    <xdr:sp macro="" textlink="">
      <xdr:nvSpPr>
        <xdr:cNvPr id="70" name="TextBox 69"/>
        <xdr:cNvSpPr txBox="1"/>
      </xdr:nvSpPr>
      <xdr:spPr>
        <a:xfrm>
          <a:off x="2365513" y="2153476"/>
          <a:ext cx="274982" cy="21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6</xdr:col>
      <xdr:colOff>314739</xdr:colOff>
      <xdr:row>40</xdr:row>
      <xdr:rowOff>57976</xdr:rowOff>
    </xdr:from>
    <xdr:to>
      <xdr:col>6</xdr:col>
      <xdr:colOff>588065</xdr:colOff>
      <xdr:row>41</xdr:row>
      <xdr:rowOff>79001</xdr:rowOff>
    </xdr:to>
    <xdr:sp macro="" textlink="">
      <xdr:nvSpPr>
        <xdr:cNvPr id="71" name="TextBox 70"/>
        <xdr:cNvSpPr txBox="1"/>
      </xdr:nvSpPr>
      <xdr:spPr>
        <a:xfrm>
          <a:off x="4200939" y="2153476"/>
          <a:ext cx="273326" cy="21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4</a:t>
          </a:r>
        </a:p>
      </xdr:txBody>
    </xdr:sp>
    <xdr:clientData/>
  </xdr:twoCellAnchor>
  <xdr:twoCellAnchor>
    <xdr:from>
      <xdr:col>4</xdr:col>
      <xdr:colOff>637761</xdr:colOff>
      <xdr:row>39</xdr:row>
      <xdr:rowOff>157369</xdr:rowOff>
    </xdr:from>
    <xdr:to>
      <xdr:col>5</xdr:col>
      <xdr:colOff>277468</xdr:colOff>
      <xdr:row>41</xdr:row>
      <xdr:rowOff>4969</xdr:rowOff>
    </xdr:to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228561" y="2062369"/>
          <a:ext cx="287407" cy="228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91108</xdr:colOff>
      <xdr:row>39</xdr:row>
      <xdr:rowOff>149087</xdr:rowOff>
    </xdr:from>
    <xdr:to>
      <xdr:col>2</xdr:col>
      <xdr:colOff>367333</xdr:colOff>
      <xdr:row>40</xdr:row>
      <xdr:rowOff>187187</xdr:rowOff>
    </xdr:to>
    <xdr:pic>
      <xdr:nvPicPr>
        <xdr:cNvPr id="7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86508" y="2054087"/>
          <a:ext cx="276225" cy="2286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538369</xdr:colOff>
      <xdr:row>39</xdr:row>
      <xdr:rowOff>157371</xdr:rowOff>
    </xdr:from>
    <xdr:to>
      <xdr:col>8</xdr:col>
      <xdr:colOff>178075</xdr:colOff>
      <xdr:row>41</xdr:row>
      <xdr:rowOff>4971</xdr:rowOff>
    </xdr:to>
    <xdr:pic>
      <xdr:nvPicPr>
        <xdr:cNvPr id="7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072269" y="2062371"/>
          <a:ext cx="287406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66261</xdr:colOff>
      <xdr:row>45</xdr:row>
      <xdr:rowOff>91109</xdr:rowOff>
    </xdr:from>
    <xdr:to>
      <xdr:col>1</xdr:col>
      <xdr:colOff>399636</xdr:colOff>
      <xdr:row>47</xdr:row>
      <xdr:rowOff>81584</xdr:rowOff>
    </xdr:to>
    <xdr:pic>
      <xdr:nvPicPr>
        <xdr:cNvPr id="7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13961" y="3139109"/>
          <a:ext cx="333375" cy="371475"/>
        </a:xfrm>
        <a:prstGeom prst="rect">
          <a:avLst/>
        </a:prstGeom>
        <a:noFill/>
      </xdr:spPr>
    </xdr:pic>
    <xdr:clientData/>
  </xdr:twoCellAnchor>
  <xdr:twoCellAnchor>
    <xdr:from>
      <xdr:col>8</xdr:col>
      <xdr:colOff>414130</xdr:colOff>
      <xdr:row>45</xdr:row>
      <xdr:rowOff>74544</xdr:rowOff>
    </xdr:from>
    <xdr:to>
      <xdr:col>9</xdr:col>
      <xdr:colOff>101462</xdr:colOff>
      <xdr:row>47</xdr:row>
      <xdr:rowOff>65019</xdr:rowOff>
    </xdr:to>
    <xdr:pic>
      <xdr:nvPicPr>
        <xdr:cNvPr id="7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595730" y="3122544"/>
          <a:ext cx="335032" cy="3714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323021</xdr:colOff>
      <xdr:row>45</xdr:row>
      <xdr:rowOff>0</xdr:rowOff>
    </xdr:from>
    <xdr:to>
      <xdr:col>6</xdr:col>
      <xdr:colOff>599245</xdr:colOff>
      <xdr:row>46</xdr:row>
      <xdr:rowOff>38100</xdr:rowOff>
    </xdr:to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09221" y="3048000"/>
          <a:ext cx="276224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502611</xdr:colOff>
      <xdr:row>39</xdr:row>
      <xdr:rowOff>171914</xdr:rowOff>
    </xdr:from>
    <xdr:to>
      <xdr:col>3</xdr:col>
      <xdr:colOff>594731</xdr:colOff>
      <xdr:row>40</xdr:row>
      <xdr:rowOff>49694</xdr:rowOff>
    </xdr:to>
    <xdr:sp macro="" textlink="">
      <xdr:nvSpPr>
        <xdr:cNvPr id="79" name="Равнобедренный треугольник 78"/>
        <xdr:cNvSpPr/>
      </xdr:nvSpPr>
      <xdr:spPr>
        <a:xfrm flipV="1">
          <a:off x="2445711" y="2076914"/>
          <a:ext cx="92120" cy="6828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</xdr:col>
      <xdr:colOff>524087</xdr:colOff>
      <xdr:row>42</xdr:row>
      <xdr:rowOff>9077</xdr:rowOff>
    </xdr:from>
    <xdr:to>
      <xdr:col>3</xdr:col>
      <xdr:colOff>525675</xdr:colOff>
      <xdr:row>45</xdr:row>
      <xdr:rowOff>9077</xdr:rowOff>
    </xdr:to>
    <xdr:cxnSp macro="">
      <xdr:nvCxnSpPr>
        <xdr:cNvPr id="81" name="Прямая со стрелкой 80"/>
        <xdr:cNvCxnSpPr/>
      </xdr:nvCxnSpPr>
      <xdr:spPr>
        <a:xfrm rot="5400000">
          <a:off x="2182231" y="8305919"/>
          <a:ext cx="571500" cy="1588"/>
        </a:xfrm>
        <a:prstGeom prst="straightConnector1">
          <a:avLst/>
        </a:prstGeom>
        <a:ln w="1905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586540</xdr:colOff>
      <xdr:row>42</xdr:row>
      <xdr:rowOff>5013</xdr:rowOff>
    </xdr:from>
    <xdr:to>
      <xdr:col>4</xdr:col>
      <xdr:colOff>543148</xdr:colOff>
      <xdr:row>42</xdr:row>
      <xdr:rowOff>7327</xdr:rowOff>
    </xdr:to>
    <xdr:cxnSp macro="">
      <xdr:nvCxnSpPr>
        <xdr:cNvPr id="83" name="Прямая соединительная линия 82"/>
        <xdr:cNvCxnSpPr>
          <a:endCxn id="47" idx="1"/>
        </xdr:cNvCxnSpPr>
      </xdr:nvCxnSpPr>
      <xdr:spPr>
        <a:xfrm>
          <a:off x="2526632" y="8016039"/>
          <a:ext cx="603305" cy="2314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263769</xdr:colOff>
      <xdr:row>45</xdr:row>
      <xdr:rowOff>0</xdr:rowOff>
    </xdr:from>
    <xdr:to>
      <xdr:col>3</xdr:col>
      <xdr:colOff>539994</xdr:colOff>
      <xdr:row>46</xdr:row>
      <xdr:rowOff>38100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98077" y="8579827"/>
          <a:ext cx="276225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593480</xdr:colOff>
      <xdr:row>45</xdr:row>
      <xdr:rowOff>14654</xdr:rowOff>
    </xdr:from>
    <xdr:to>
      <xdr:col>4</xdr:col>
      <xdr:colOff>234461</xdr:colOff>
      <xdr:row>46</xdr:row>
      <xdr:rowOff>52754</xdr:rowOff>
    </xdr:to>
    <xdr:pic>
      <xdr:nvPicPr>
        <xdr:cNvPr id="5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527788" y="8594481"/>
          <a:ext cx="285750" cy="228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219808</xdr:colOff>
      <xdr:row>27</xdr:row>
      <xdr:rowOff>73269</xdr:rowOff>
    </xdr:from>
    <xdr:to>
      <xdr:col>4</xdr:col>
      <xdr:colOff>429358</xdr:colOff>
      <xdr:row>29</xdr:row>
      <xdr:rowOff>187569</xdr:rowOff>
    </xdr:to>
    <xdr:pic>
      <xdr:nvPicPr>
        <xdr:cNvPr id="51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9808" y="5224096"/>
          <a:ext cx="2788627" cy="4953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2</xdr:col>
      <xdr:colOff>428625</xdr:colOff>
      <xdr:row>61</xdr:row>
      <xdr:rowOff>28575</xdr:rowOff>
    </xdr:to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11182350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629478</xdr:colOff>
      <xdr:row>53</xdr:row>
      <xdr:rowOff>115956</xdr:rowOff>
    </xdr:from>
    <xdr:to>
      <xdr:col>3</xdr:col>
      <xdr:colOff>12010</xdr:colOff>
      <xdr:row>55</xdr:row>
      <xdr:rowOff>106431</xdr:rowOff>
    </xdr:to>
    <xdr:pic>
      <xdr:nvPicPr>
        <xdr:cNvPr id="8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9478" y="9964806"/>
          <a:ext cx="1325632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637760</xdr:colOff>
      <xdr:row>57</xdr:row>
      <xdr:rowOff>115957</xdr:rowOff>
    </xdr:from>
    <xdr:to>
      <xdr:col>3</xdr:col>
      <xdr:colOff>10767</xdr:colOff>
      <xdr:row>59</xdr:row>
      <xdr:rowOff>106432</xdr:rowOff>
    </xdr:to>
    <xdr:pic>
      <xdr:nvPicPr>
        <xdr:cNvPr id="8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0" y="10726807"/>
          <a:ext cx="1316107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8283</xdr:colOff>
      <xdr:row>61</xdr:row>
      <xdr:rowOff>91109</xdr:rowOff>
    </xdr:from>
    <xdr:to>
      <xdr:col>4</xdr:col>
      <xdr:colOff>8283</xdr:colOff>
      <xdr:row>63</xdr:row>
      <xdr:rowOff>138734</xdr:rowOff>
    </xdr:to>
    <xdr:pic>
      <xdr:nvPicPr>
        <xdr:cNvPr id="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5983" y="11463959"/>
          <a:ext cx="1971675" cy="4286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207065</xdr:colOff>
      <xdr:row>30</xdr:row>
      <xdr:rowOff>74543</xdr:rowOff>
    </xdr:from>
    <xdr:to>
      <xdr:col>4</xdr:col>
      <xdr:colOff>435665</xdr:colOff>
      <xdr:row>32</xdr:row>
      <xdr:rowOff>188843</xdr:rowOff>
    </xdr:to>
    <xdr:pic>
      <xdr:nvPicPr>
        <xdr:cNvPr id="512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07065" y="5797826"/>
          <a:ext cx="2812774" cy="4953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323023</xdr:colOff>
      <xdr:row>33</xdr:row>
      <xdr:rowOff>173935</xdr:rowOff>
    </xdr:from>
    <xdr:to>
      <xdr:col>4</xdr:col>
      <xdr:colOff>437323</xdr:colOff>
      <xdr:row>35</xdr:row>
      <xdr:rowOff>40585</xdr:rowOff>
    </xdr:to>
    <xdr:pic>
      <xdr:nvPicPr>
        <xdr:cNvPr id="512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15110" y="6468718"/>
          <a:ext cx="1406387" cy="2476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2</xdr:col>
      <xdr:colOff>428625</xdr:colOff>
      <xdr:row>76</xdr:row>
      <xdr:rowOff>28575</xdr:rowOff>
    </xdr:to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1212175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629478</xdr:colOff>
      <xdr:row>68</xdr:row>
      <xdr:rowOff>115956</xdr:rowOff>
    </xdr:from>
    <xdr:to>
      <xdr:col>3</xdr:col>
      <xdr:colOff>12010</xdr:colOff>
      <xdr:row>70</xdr:row>
      <xdr:rowOff>106431</xdr:rowOff>
    </xdr:to>
    <xdr:pic>
      <xdr:nvPicPr>
        <xdr:cNvPr id="9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9478" y="19994631"/>
          <a:ext cx="1325632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637760</xdr:colOff>
      <xdr:row>72</xdr:row>
      <xdr:rowOff>115957</xdr:rowOff>
    </xdr:from>
    <xdr:to>
      <xdr:col>3</xdr:col>
      <xdr:colOff>10767</xdr:colOff>
      <xdr:row>74</xdr:row>
      <xdr:rowOff>106432</xdr:rowOff>
    </xdr:to>
    <xdr:pic>
      <xdr:nvPicPr>
        <xdr:cNvPr id="9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0" y="20756632"/>
          <a:ext cx="1316107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637761</xdr:colOff>
      <xdr:row>76</xdr:row>
      <xdr:rowOff>82826</xdr:rowOff>
    </xdr:from>
    <xdr:to>
      <xdr:col>3</xdr:col>
      <xdr:colOff>670892</xdr:colOff>
      <xdr:row>78</xdr:row>
      <xdr:rowOff>130451</xdr:rowOff>
    </xdr:to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1" y="21485501"/>
          <a:ext cx="1976231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2</xdr:col>
      <xdr:colOff>428625</xdr:colOff>
      <xdr:row>76</xdr:row>
      <xdr:rowOff>28575</xdr:rowOff>
    </xdr:to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1212175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629478</xdr:colOff>
      <xdr:row>68</xdr:row>
      <xdr:rowOff>115956</xdr:rowOff>
    </xdr:from>
    <xdr:to>
      <xdr:col>3</xdr:col>
      <xdr:colOff>12010</xdr:colOff>
      <xdr:row>70</xdr:row>
      <xdr:rowOff>106431</xdr:rowOff>
    </xdr:to>
    <xdr:pic>
      <xdr:nvPicPr>
        <xdr:cNvPr id="9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9478" y="19994631"/>
          <a:ext cx="1325632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637760</xdr:colOff>
      <xdr:row>72</xdr:row>
      <xdr:rowOff>115957</xdr:rowOff>
    </xdr:from>
    <xdr:to>
      <xdr:col>3</xdr:col>
      <xdr:colOff>10767</xdr:colOff>
      <xdr:row>74</xdr:row>
      <xdr:rowOff>106432</xdr:rowOff>
    </xdr:to>
    <xdr:pic>
      <xdr:nvPicPr>
        <xdr:cNvPr id="9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0" y="20756632"/>
          <a:ext cx="1316107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637761</xdr:colOff>
      <xdr:row>76</xdr:row>
      <xdr:rowOff>82826</xdr:rowOff>
    </xdr:from>
    <xdr:to>
      <xdr:col>3</xdr:col>
      <xdr:colOff>670892</xdr:colOff>
      <xdr:row>78</xdr:row>
      <xdr:rowOff>130451</xdr:rowOff>
    </xdr:to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7761" y="21485501"/>
          <a:ext cx="1976231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81</xdr:row>
      <xdr:rowOff>173934</xdr:rowOff>
    </xdr:from>
    <xdr:to>
      <xdr:col>2</xdr:col>
      <xdr:colOff>578541</xdr:colOff>
      <xdr:row>83</xdr:row>
      <xdr:rowOff>40584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2609" y="15712108"/>
          <a:ext cx="1208019" cy="2476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336401</xdr:colOff>
      <xdr:row>105</xdr:row>
      <xdr:rowOff>184448</xdr:rowOff>
    </xdr:from>
    <xdr:to>
      <xdr:col>0</xdr:col>
      <xdr:colOff>600170</xdr:colOff>
      <xdr:row>107</xdr:row>
      <xdr:rowOff>23256</xdr:rowOff>
    </xdr:to>
    <xdr:sp macro="" textlink="">
      <xdr:nvSpPr>
        <xdr:cNvPr id="298" name="TextBox 297"/>
        <xdr:cNvSpPr txBox="1"/>
      </xdr:nvSpPr>
      <xdr:spPr>
        <a:xfrm>
          <a:off x="336401" y="43685123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3</xdr:col>
      <xdr:colOff>271734</xdr:colOff>
      <xdr:row>105</xdr:row>
      <xdr:rowOff>184447</xdr:rowOff>
    </xdr:from>
    <xdr:to>
      <xdr:col>3</xdr:col>
      <xdr:colOff>530087</xdr:colOff>
      <xdr:row>107</xdr:row>
      <xdr:rowOff>23255</xdr:rowOff>
    </xdr:to>
    <xdr:sp macro="" textlink="">
      <xdr:nvSpPr>
        <xdr:cNvPr id="299" name="TextBox 298"/>
        <xdr:cNvSpPr txBox="1"/>
      </xdr:nvSpPr>
      <xdr:spPr>
        <a:xfrm>
          <a:off x="2214834" y="43685122"/>
          <a:ext cx="258353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109</xdr:row>
      <xdr:rowOff>109904</xdr:rowOff>
    </xdr:from>
    <xdr:to>
      <xdr:col>8</xdr:col>
      <xdr:colOff>454270</xdr:colOff>
      <xdr:row>110</xdr:row>
      <xdr:rowOff>139212</xdr:rowOff>
    </xdr:to>
    <xdr:sp macro="" textlink="">
      <xdr:nvSpPr>
        <xdr:cNvPr id="300" name="TextBox 299"/>
        <xdr:cNvSpPr txBox="1"/>
      </xdr:nvSpPr>
      <xdr:spPr>
        <a:xfrm>
          <a:off x="5810251" y="4437257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</xdr:col>
      <xdr:colOff>28575</xdr:colOff>
      <xdr:row>117</xdr:row>
      <xdr:rowOff>0</xdr:rowOff>
    </xdr:from>
    <xdr:to>
      <xdr:col>1</xdr:col>
      <xdr:colOff>571500</xdr:colOff>
      <xdr:row>118</xdr:row>
      <xdr:rowOff>28575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5796200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129</xdr:row>
      <xdr:rowOff>0</xdr:rowOff>
    </xdr:from>
    <xdr:to>
      <xdr:col>2</xdr:col>
      <xdr:colOff>457200</xdr:colOff>
      <xdr:row>130</xdr:row>
      <xdr:rowOff>28575</xdr:rowOff>
    </xdr:to>
    <xdr:pic>
      <xdr:nvPicPr>
        <xdr:cNvPr id="30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4808220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122</xdr:row>
      <xdr:rowOff>95250</xdr:rowOff>
    </xdr:from>
    <xdr:to>
      <xdr:col>2</xdr:col>
      <xdr:colOff>342900</xdr:colOff>
      <xdr:row>124</xdr:row>
      <xdr:rowOff>85725</xdr:rowOff>
    </xdr:to>
    <xdr:pic>
      <xdr:nvPicPr>
        <xdr:cNvPr id="3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684395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124</xdr:row>
      <xdr:rowOff>85725</xdr:rowOff>
    </xdr:from>
    <xdr:to>
      <xdr:col>3</xdr:col>
      <xdr:colOff>571500</xdr:colOff>
      <xdr:row>126</xdr:row>
      <xdr:rowOff>123825</xdr:rowOff>
    </xdr:to>
    <xdr:pic>
      <xdr:nvPicPr>
        <xdr:cNvPr id="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721542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166</xdr:row>
      <xdr:rowOff>114300</xdr:rowOff>
    </xdr:from>
    <xdr:to>
      <xdr:col>2</xdr:col>
      <xdr:colOff>523875</xdr:colOff>
      <xdr:row>168</xdr:row>
      <xdr:rowOff>161925</xdr:rowOff>
    </xdr:to>
    <xdr:pic>
      <xdr:nvPicPr>
        <xdr:cNvPr id="30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311675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169</xdr:row>
      <xdr:rowOff>28575</xdr:rowOff>
    </xdr:from>
    <xdr:to>
      <xdr:col>1</xdr:col>
      <xdr:colOff>342900</xdr:colOff>
      <xdr:row>170</xdr:row>
      <xdr:rowOff>47625</xdr:rowOff>
    </xdr:to>
    <xdr:pic>
      <xdr:nvPicPr>
        <xdr:cNvPr id="30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797450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170</xdr:row>
      <xdr:rowOff>104775</xdr:rowOff>
    </xdr:from>
    <xdr:to>
      <xdr:col>2</xdr:col>
      <xdr:colOff>114300</xdr:colOff>
      <xdr:row>172</xdr:row>
      <xdr:rowOff>133350</xdr:rowOff>
    </xdr:to>
    <xdr:pic>
      <xdr:nvPicPr>
        <xdr:cNvPr id="30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56073675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171</xdr:row>
      <xdr:rowOff>19050</xdr:rowOff>
    </xdr:from>
    <xdr:to>
      <xdr:col>3</xdr:col>
      <xdr:colOff>304800</xdr:colOff>
      <xdr:row>172</xdr:row>
      <xdr:rowOff>38100</xdr:rowOff>
    </xdr:to>
    <xdr:pic>
      <xdr:nvPicPr>
        <xdr:cNvPr id="30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5617845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276225</xdr:colOff>
      <xdr:row>174</xdr:row>
      <xdr:rowOff>9525</xdr:rowOff>
    </xdr:to>
    <xdr:pic>
      <xdr:nvPicPr>
        <xdr:cNvPr id="309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5654040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41413</xdr:colOff>
      <xdr:row>101</xdr:row>
      <xdr:rowOff>114622</xdr:rowOff>
    </xdr:from>
    <xdr:to>
      <xdr:col>9</xdr:col>
      <xdr:colOff>483041</xdr:colOff>
      <xdr:row>112</xdr:row>
      <xdr:rowOff>180201</xdr:rowOff>
    </xdr:to>
    <xdr:grpSp>
      <xdr:nvGrpSpPr>
        <xdr:cNvPr id="310" name="Группа 309"/>
        <xdr:cNvGrpSpPr/>
      </xdr:nvGrpSpPr>
      <xdr:grpSpPr>
        <a:xfrm>
          <a:off x="38365" y="18771430"/>
          <a:ext cx="6482764" cy="2077259"/>
          <a:chOff x="306457" y="43640045"/>
          <a:chExt cx="8944442" cy="2476192"/>
        </a:xfrm>
      </xdr:grpSpPr>
      <xdr:sp macro="" textlink="">
        <xdr:nvSpPr>
          <xdr:cNvPr id="311" name="Прямоугольник 310"/>
          <xdr:cNvSpPr/>
        </xdr:nvSpPr>
        <xdr:spPr>
          <a:xfrm>
            <a:off x="4116868" y="44929011"/>
            <a:ext cx="545410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12" name="Прямая соединительная линия 311"/>
          <xdr:cNvCxnSpPr>
            <a:stCxn id="311" idx="3"/>
          </xdr:cNvCxnSpPr>
        </xdr:nvCxnSpPr>
        <xdr:spPr>
          <a:xfrm>
            <a:off x="4662278" y="45014736"/>
            <a:ext cx="1366703" cy="68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1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066763" y="44494174"/>
            <a:ext cx="670891" cy="371475"/>
          </a:xfrm>
          <a:prstGeom prst="rect">
            <a:avLst/>
          </a:prstGeom>
          <a:noFill/>
        </xdr:spPr>
      </xdr:pic>
      <xdr:cxnSp macro="">
        <xdr:nvCxnSpPr>
          <xdr:cNvPr id="314" name="Прямая со стрелкой 313"/>
          <xdr:cNvCxnSpPr/>
        </xdr:nvCxnSpPr>
        <xdr:spPr>
          <a:xfrm>
            <a:off x="5154049" y="44941435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5" name="Группа 260"/>
          <xdr:cNvGrpSpPr/>
        </xdr:nvGrpSpPr>
        <xdr:grpSpPr>
          <a:xfrm>
            <a:off x="306457" y="44502457"/>
            <a:ext cx="4217090" cy="1236593"/>
            <a:chOff x="306457" y="44502457"/>
            <a:chExt cx="4217090" cy="1236593"/>
          </a:xfrm>
        </xdr:grpSpPr>
        <xdr:cxnSp macro="">
          <xdr:nvCxnSpPr>
            <xdr:cNvPr id="340" name="Прямая соединительная линия 339"/>
            <xdr:cNvCxnSpPr/>
          </xdr:nvCxnSpPr>
          <xdr:spPr>
            <a:xfrm>
              <a:off x="865118" y="45024261"/>
              <a:ext cx="1082537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41" name="Прямоугольник 340"/>
            <xdr:cNvSpPr/>
          </xdr:nvSpPr>
          <xdr:spPr>
            <a:xfrm>
              <a:off x="1957180" y="44929011"/>
              <a:ext cx="447675" cy="1714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cxnSp macro="">
          <xdr:nvCxnSpPr>
            <xdr:cNvPr id="342" name="Прямая соединительная линия 341"/>
            <xdr:cNvCxnSpPr>
              <a:stCxn id="341" idx="3"/>
              <a:endCxn id="311" idx="1"/>
            </xdr:cNvCxnSpPr>
          </xdr:nvCxnSpPr>
          <xdr:spPr>
            <a:xfrm>
              <a:off x="2404855" y="45014736"/>
              <a:ext cx="1712013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" name="Прямая соединительная линия 342"/>
            <xdr:cNvCxnSpPr/>
          </xdr:nvCxnSpPr>
          <xdr:spPr>
            <a:xfrm rot="5400000">
              <a:off x="711527" y="45024261"/>
              <a:ext cx="297656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344" name="Группа 206"/>
            <xdr:cNvGrpSpPr/>
          </xdr:nvGrpSpPr>
          <xdr:grpSpPr>
            <a:xfrm>
              <a:off x="875956" y="45030837"/>
              <a:ext cx="157654" cy="407563"/>
              <a:chOff x="874682" y="2102069"/>
              <a:chExt cx="157656" cy="552587"/>
            </a:xfrm>
          </xdr:grpSpPr>
          <xdr:cxnSp macro="">
            <xdr:nvCxnSpPr>
              <xdr:cNvPr id="365" name="Прямая соединительная линия 364"/>
              <xdr:cNvCxnSpPr/>
            </xdr:nvCxnSpPr>
            <xdr:spPr>
              <a:xfrm>
                <a:off x="874682" y="2102069"/>
                <a:ext cx="157656" cy="6569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66" name="Прямая со стрелкой 365"/>
              <xdr:cNvCxnSpPr/>
            </xdr:nvCxnSpPr>
            <xdr:spPr>
              <a:xfrm rot="5400000">
                <a:off x="779433" y="2407526"/>
                <a:ext cx="492672" cy="1588"/>
              </a:xfrm>
              <a:prstGeom prst="straightConnector1">
                <a:avLst/>
              </a:prstGeom>
              <a:ln>
                <a:tailEnd type="stealt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345" name="Группа 209"/>
            <xdr:cNvGrpSpPr/>
          </xdr:nvGrpSpPr>
          <xdr:grpSpPr>
            <a:xfrm>
              <a:off x="3079129" y="44876227"/>
              <a:ext cx="587412" cy="562173"/>
              <a:chOff x="3061627" y="1947466"/>
              <a:chExt cx="330550" cy="562173"/>
            </a:xfrm>
          </xdr:grpSpPr>
          <xdr:cxnSp macro="">
            <xdr:nvCxnSpPr>
              <xdr:cNvPr id="358" name="Прямая соединительная линия 357"/>
              <xdr:cNvCxnSpPr/>
            </xdr:nvCxnSpPr>
            <xdr:spPr>
              <a:xfrm rot="5400000">
                <a:off x="3074619" y="2095500"/>
                <a:ext cx="297656" cy="1588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359" name="Группа 51"/>
              <xdr:cNvGrpSpPr/>
            </xdr:nvGrpSpPr>
            <xdr:grpSpPr>
              <a:xfrm>
                <a:off x="3234372" y="2102076"/>
                <a:ext cx="157805" cy="407563"/>
                <a:chOff x="868756" y="2102069"/>
                <a:chExt cx="157807" cy="552587"/>
              </a:xfrm>
            </xdr:grpSpPr>
            <xdr:cxnSp macro="">
              <xdr:nvCxnSpPr>
                <xdr:cNvPr id="363" name="Прямая соединительная линия 362"/>
                <xdr:cNvCxnSpPr/>
              </xdr:nvCxnSpPr>
              <xdr:spPr>
                <a:xfrm>
                  <a:off x="868756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64" name="Прямая со стрелкой 363"/>
                <xdr:cNvCxnSpPr/>
              </xdr:nvCxnSpPr>
              <xdr:spPr>
                <a:xfrm rot="5400000">
                  <a:off x="779433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360" name="Группа 57"/>
              <xdr:cNvGrpSpPr/>
            </xdr:nvGrpSpPr>
            <xdr:grpSpPr>
              <a:xfrm>
                <a:off x="3061627" y="2102076"/>
                <a:ext cx="159206" cy="407563"/>
                <a:chOff x="3056553" y="2102069"/>
                <a:chExt cx="159208" cy="552587"/>
              </a:xfrm>
            </xdr:grpSpPr>
            <xdr:cxnSp macro="">
              <xdr:nvCxnSpPr>
                <xdr:cNvPr id="361" name="Прямая соединительная линия 360"/>
                <xdr:cNvCxnSpPr/>
              </xdr:nvCxnSpPr>
              <xdr:spPr>
                <a:xfrm flipH="1">
                  <a:off x="3058105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62" name="Прямая со стрелкой 361"/>
                <xdr:cNvCxnSpPr/>
              </xdr:nvCxnSpPr>
              <xdr:spPr>
                <a:xfrm rot="16200000" flipH="1">
                  <a:off x="2811011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346" name="Прямая со стрелкой 345"/>
            <xdr:cNvCxnSpPr/>
          </xdr:nvCxnSpPr>
          <xdr:spPr>
            <a:xfrm>
              <a:off x="306457" y="45024261"/>
              <a:ext cx="54665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347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8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896717" y="44502457"/>
              <a:ext cx="581025" cy="371475"/>
            </a:xfrm>
            <a:prstGeom prst="rect">
              <a:avLst/>
            </a:prstGeom>
            <a:noFill/>
          </xdr:spPr>
        </xdr:pic>
        <xdr:pic>
          <xdr:nvPicPr>
            <xdr:cNvPr id="348" name="Picture 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9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578087" y="45546067"/>
              <a:ext cx="945460" cy="190500"/>
            </a:xfrm>
            <a:prstGeom prst="rect">
              <a:avLst/>
            </a:prstGeom>
            <a:noFill/>
          </xdr:spPr>
        </xdr:pic>
        <xdr:pic>
          <xdr:nvPicPr>
            <xdr:cNvPr id="349" name="Picture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828260" y="45529499"/>
              <a:ext cx="428625" cy="209550"/>
            </a:xfrm>
            <a:prstGeom prst="rect">
              <a:avLst/>
            </a:prstGeom>
            <a:noFill/>
          </xdr:spPr>
        </xdr:pic>
        <xdr:pic>
          <xdr:nvPicPr>
            <xdr:cNvPr id="350" name="Picture 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782957" y="45529500"/>
              <a:ext cx="428625" cy="209550"/>
            </a:xfrm>
            <a:prstGeom prst="rect">
              <a:avLst/>
            </a:prstGeom>
            <a:noFill/>
          </xdr:spPr>
        </xdr:pic>
        <xdr:cxnSp macro="">
          <xdr:nvCxnSpPr>
            <xdr:cNvPr id="351" name="Прямая со стрелкой 350"/>
            <xdr:cNvCxnSpPr/>
          </xdr:nvCxnSpPr>
          <xdr:spPr>
            <a:xfrm>
              <a:off x="1151283" y="44941435"/>
              <a:ext cx="513521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2" name="Прямая со стрелкой 351"/>
            <xdr:cNvCxnSpPr/>
          </xdr:nvCxnSpPr>
          <xdr:spPr>
            <a:xfrm>
              <a:off x="2509631" y="44941435"/>
              <a:ext cx="604630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353" name="Picture 7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496956" y="44833761"/>
              <a:ext cx="180975" cy="209550"/>
            </a:xfrm>
            <a:prstGeom prst="rect">
              <a:avLst/>
            </a:prstGeom>
            <a:noFill/>
          </xdr:spPr>
        </xdr:pic>
        <xdr:pic>
          <xdr:nvPicPr>
            <xdr:cNvPr id="354" name="Picture 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2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333500" y="44734369"/>
              <a:ext cx="161925" cy="209550"/>
            </a:xfrm>
            <a:prstGeom prst="rect">
              <a:avLst/>
            </a:prstGeom>
            <a:noFill/>
          </xdr:spPr>
        </xdr:pic>
        <xdr:pic>
          <xdr:nvPicPr>
            <xdr:cNvPr id="355" name="Picture 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816086" y="44734369"/>
              <a:ext cx="152400" cy="209550"/>
            </a:xfrm>
            <a:prstGeom prst="rect">
              <a:avLst/>
            </a:prstGeom>
            <a:noFill/>
          </xdr:spPr>
        </xdr:pic>
        <xdr:pic>
          <xdr:nvPicPr>
            <xdr:cNvPr id="356" name="Picture 1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743739" y="44750935"/>
              <a:ext cx="161925" cy="209550"/>
            </a:xfrm>
            <a:prstGeom prst="rect">
              <a:avLst/>
            </a:prstGeom>
            <a:noFill/>
          </xdr:spPr>
        </xdr:pic>
        <xdr:cxnSp macro="">
          <xdr:nvCxnSpPr>
            <xdr:cNvPr id="357" name="Прямая со стрелкой 356"/>
            <xdr:cNvCxnSpPr/>
          </xdr:nvCxnSpPr>
          <xdr:spPr>
            <a:xfrm>
              <a:off x="3573354" y="44941435"/>
              <a:ext cx="514468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16" name="Прямоугольник 315"/>
          <xdr:cNvSpPr/>
        </xdr:nvSpPr>
        <xdr:spPr>
          <a:xfrm>
            <a:off x="6614577" y="4407488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17" name="Прямая соединительная линия 316"/>
          <xdr:cNvCxnSpPr>
            <a:stCxn id="316" idx="3"/>
            <a:endCxn id="318" idx="2"/>
          </xdr:cNvCxnSpPr>
        </xdr:nvCxnSpPr>
        <xdr:spPr>
          <a:xfrm flipV="1">
            <a:off x="7159986" y="44157078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18" name="Овал 317"/>
          <xdr:cNvSpPr/>
        </xdr:nvSpPr>
        <xdr:spPr>
          <a:xfrm>
            <a:off x="7719890" y="43982100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19" name="Овал 318"/>
          <xdr:cNvSpPr/>
        </xdr:nvSpPr>
        <xdr:spPr>
          <a:xfrm>
            <a:off x="7986490" y="43982100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20" name="Прямая со стрелкой 319"/>
          <xdr:cNvCxnSpPr/>
        </xdr:nvCxnSpPr>
        <xdr:spPr>
          <a:xfrm>
            <a:off x="8384367" y="44170132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1" name="Прямая соединительная линия 320"/>
          <xdr:cNvCxnSpPr/>
        </xdr:nvCxnSpPr>
        <xdr:spPr>
          <a:xfrm rot="5400000">
            <a:off x="8539172" y="4417013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22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564471" y="43640045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323" name="Овал 322"/>
          <xdr:cNvSpPr/>
        </xdr:nvSpPr>
        <xdr:spPr>
          <a:xfrm>
            <a:off x="7450848" y="44135082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24" name="Овал 323"/>
          <xdr:cNvSpPr/>
        </xdr:nvSpPr>
        <xdr:spPr>
          <a:xfrm>
            <a:off x="8664954" y="44150444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25" name="Прямая со стрелкой 324"/>
          <xdr:cNvCxnSpPr/>
        </xdr:nvCxnSpPr>
        <xdr:spPr>
          <a:xfrm>
            <a:off x="7202230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26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16195" y="44054175"/>
            <a:ext cx="190499" cy="219075"/>
          </a:xfrm>
          <a:prstGeom prst="rect">
            <a:avLst/>
          </a:prstGeom>
          <a:noFill/>
        </xdr:spPr>
      </xdr:pic>
      <xdr:sp macro="" textlink="">
        <xdr:nvSpPr>
          <xdr:cNvPr id="327" name="Прямоугольник 326"/>
          <xdr:cNvSpPr/>
        </xdr:nvSpPr>
        <xdr:spPr>
          <a:xfrm>
            <a:off x="6658784" y="4585906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28" name="Прямая соединительная линия 327"/>
          <xdr:cNvCxnSpPr>
            <a:stCxn id="327" idx="3"/>
            <a:endCxn id="329" idx="2"/>
          </xdr:cNvCxnSpPr>
        </xdr:nvCxnSpPr>
        <xdr:spPr>
          <a:xfrm flipV="1">
            <a:off x="7204192" y="45941259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9" name="Овал 328"/>
          <xdr:cNvSpPr/>
        </xdr:nvSpPr>
        <xdr:spPr>
          <a:xfrm>
            <a:off x="7764097" y="45766281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30" name="Овал 329"/>
          <xdr:cNvSpPr/>
        </xdr:nvSpPr>
        <xdr:spPr>
          <a:xfrm>
            <a:off x="8030696" y="45766281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31" name="Прямая со стрелкой 330"/>
          <xdr:cNvCxnSpPr/>
        </xdr:nvCxnSpPr>
        <xdr:spPr>
          <a:xfrm>
            <a:off x="8428573" y="45954313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" name="Прямая соединительная линия 331"/>
          <xdr:cNvCxnSpPr/>
        </xdr:nvCxnSpPr>
        <xdr:spPr>
          <a:xfrm rot="5400000">
            <a:off x="8583378" y="4595431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3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608677" y="45424226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334" name="Овал 333"/>
          <xdr:cNvSpPr/>
        </xdr:nvSpPr>
        <xdr:spPr>
          <a:xfrm>
            <a:off x="7495054" y="45919263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335" name="Овал 334"/>
          <xdr:cNvSpPr/>
        </xdr:nvSpPr>
        <xdr:spPr>
          <a:xfrm>
            <a:off x="8709160" y="45934625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336" name="Прямая со стрелкой 335"/>
          <xdr:cNvCxnSpPr/>
        </xdr:nvCxnSpPr>
        <xdr:spPr>
          <a:xfrm>
            <a:off x="7246436" y="46013840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37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60400" y="45838356"/>
            <a:ext cx="190499" cy="219075"/>
          </a:xfrm>
          <a:prstGeom prst="rect">
            <a:avLst/>
          </a:prstGeom>
          <a:noFill/>
        </xdr:spPr>
      </xdr:pic>
      <xdr:cxnSp macro="">
        <xdr:nvCxnSpPr>
          <xdr:cNvPr id="338" name="Прямая со стрелкой 337"/>
          <xdr:cNvCxnSpPr/>
        </xdr:nvCxnSpPr>
        <xdr:spPr>
          <a:xfrm>
            <a:off x="5876014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" name="Прямая со стрелкой 338"/>
          <xdr:cNvCxnSpPr/>
        </xdr:nvCxnSpPr>
        <xdr:spPr>
          <a:xfrm>
            <a:off x="5876014" y="46023331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</xdr:colOff>
      <xdr:row>179</xdr:row>
      <xdr:rowOff>104775</xdr:rowOff>
    </xdr:from>
    <xdr:to>
      <xdr:col>2</xdr:col>
      <xdr:colOff>428625</xdr:colOff>
      <xdr:row>181</xdr:row>
      <xdr:rowOff>152400</xdr:rowOff>
    </xdr:to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7807225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190</xdr:row>
      <xdr:rowOff>5576</xdr:rowOff>
    </xdr:from>
    <xdr:to>
      <xdr:col>6</xdr:col>
      <xdr:colOff>95251</xdr:colOff>
      <xdr:row>191</xdr:row>
      <xdr:rowOff>38100</xdr:rowOff>
    </xdr:to>
    <xdr:pic>
      <xdr:nvPicPr>
        <xdr:cNvPr id="37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59813051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202</xdr:row>
      <xdr:rowOff>19050</xdr:rowOff>
    </xdr:from>
    <xdr:to>
      <xdr:col>2</xdr:col>
      <xdr:colOff>638175</xdr:colOff>
      <xdr:row>203</xdr:row>
      <xdr:rowOff>66675</xdr:rowOff>
    </xdr:to>
    <xdr:pic>
      <xdr:nvPicPr>
        <xdr:cNvPr id="37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61922025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2</xdr:col>
      <xdr:colOff>638175</xdr:colOff>
      <xdr:row>207</xdr:row>
      <xdr:rowOff>28575</xdr:rowOff>
    </xdr:to>
    <xdr:pic>
      <xdr:nvPicPr>
        <xdr:cNvPr id="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2664975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2</xdr:col>
      <xdr:colOff>428625</xdr:colOff>
      <xdr:row>209</xdr:row>
      <xdr:rowOff>28575</xdr:rowOff>
    </xdr:to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045975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209</xdr:row>
      <xdr:rowOff>85725</xdr:rowOff>
    </xdr:from>
    <xdr:to>
      <xdr:col>3</xdr:col>
      <xdr:colOff>723900</xdr:colOff>
      <xdr:row>211</xdr:row>
      <xdr:rowOff>133350</xdr:rowOff>
    </xdr:to>
    <xdr:pic>
      <xdr:nvPicPr>
        <xdr:cNvPr id="37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322200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123862</xdr:colOff>
      <xdr:row>103</xdr:row>
      <xdr:rowOff>187938</xdr:rowOff>
    </xdr:from>
    <xdr:to>
      <xdr:col>6</xdr:col>
      <xdr:colOff>436759</xdr:colOff>
      <xdr:row>103</xdr:row>
      <xdr:rowOff>190499</xdr:rowOff>
    </xdr:to>
    <xdr:cxnSp macro="">
      <xdr:nvCxnSpPr>
        <xdr:cNvPr id="379" name="Прямая соединительная линия 378"/>
        <xdr:cNvCxnSpPr/>
      </xdr:nvCxnSpPr>
      <xdr:spPr>
        <a:xfrm rot="10800000" flipV="1">
          <a:off x="4448212" y="43307613"/>
          <a:ext cx="312897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106880</xdr:colOff>
      <xdr:row>103</xdr:row>
      <xdr:rowOff>186586</xdr:rowOff>
    </xdr:from>
    <xdr:to>
      <xdr:col>6</xdr:col>
      <xdr:colOff>108468</xdr:colOff>
      <xdr:row>112</xdr:row>
      <xdr:rowOff>37500</xdr:rowOff>
    </xdr:to>
    <xdr:cxnSp macro="">
      <xdr:nvCxnSpPr>
        <xdr:cNvPr id="380" name="Прямая соединительная линия 379"/>
        <xdr:cNvCxnSpPr/>
      </xdr:nvCxnSpPr>
      <xdr:spPr>
        <a:xfrm rot="5400000">
          <a:off x="3649317" y="44088174"/>
          <a:ext cx="156541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107674</xdr:colOff>
      <xdr:row>112</xdr:row>
      <xdr:rowOff>30569</xdr:rowOff>
    </xdr:from>
    <xdr:to>
      <xdr:col>6</xdr:col>
      <xdr:colOff>478548</xdr:colOff>
      <xdr:row>112</xdr:row>
      <xdr:rowOff>33130</xdr:rowOff>
    </xdr:to>
    <xdr:cxnSp macro="">
      <xdr:nvCxnSpPr>
        <xdr:cNvPr id="381" name="Прямая соединительная линия 380"/>
        <xdr:cNvCxnSpPr>
          <a:endCxn id="327" idx="1"/>
        </xdr:cNvCxnSpPr>
      </xdr:nvCxnSpPr>
      <xdr:spPr>
        <a:xfrm flipV="1">
          <a:off x="4432024" y="44864744"/>
          <a:ext cx="370874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169229</xdr:colOff>
      <xdr:row>106</xdr:row>
      <xdr:rowOff>115956</xdr:rowOff>
    </xdr:from>
    <xdr:to>
      <xdr:col>5</xdr:col>
      <xdr:colOff>403854</xdr:colOff>
      <xdr:row>107</xdr:row>
      <xdr:rowOff>101876</xdr:rowOff>
    </xdr:to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50629" y="43807131"/>
          <a:ext cx="234625" cy="17642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704022</xdr:colOff>
      <xdr:row>102</xdr:row>
      <xdr:rowOff>98799</xdr:rowOff>
    </xdr:from>
    <xdr:to>
      <xdr:col>6</xdr:col>
      <xdr:colOff>183873</xdr:colOff>
      <xdr:row>103</xdr:row>
      <xdr:rowOff>85309</xdr:rowOff>
    </xdr:to>
    <xdr:pic>
      <xdr:nvPicPr>
        <xdr:cNvPr id="38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2" y="43027974"/>
          <a:ext cx="222801" cy="17701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704021</xdr:colOff>
      <xdr:row>112</xdr:row>
      <xdr:rowOff>146327</xdr:rowOff>
    </xdr:from>
    <xdr:to>
      <xdr:col>6</xdr:col>
      <xdr:colOff>202923</xdr:colOff>
      <xdr:row>113</xdr:row>
      <xdr:rowOff>135007</xdr:rowOff>
    </xdr:to>
    <xdr:pic>
      <xdr:nvPicPr>
        <xdr:cNvPr id="38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1" y="44980502"/>
          <a:ext cx="241852" cy="17918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118</xdr:row>
      <xdr:rowOff>149087</xdr:rowOff>
    </xdr:from>
    <xdr:to>
      <xdr:col>1</xdr:col>
      <xdr:colOff>483291</xdr:colOff>
      <xdr:row>120</xdr:row>
      <xdr:rowOff>53837</xdr:rowOff>
    </xdr:to>
    <xdr:pic>
      <xdr:nvPicPr>
        <xdr:cNvPr id="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135787"/>
          <a:ext cx="466725" cy="285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116</xdr:row>
      <xdr:rowOff>157370</xdr:rowOff>
    </xdr:from>
    <xdr:to>
      <xdr:col>2</xdr:col>
      <xdr:colOff>346213</xdr:colOff>
      <xdr:row>118</xdr:row>
      <xdr:rowOff>62120</xdr:rowOff>
    </xdr:to>
    <xdr:pic>
      <xdr:nvPicPr>
        <xdr:cNvPr id="38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6813" y="45763070"/>
          <a:ext cx="304800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135</xdr:row>
      <xdr:rowOff>0</xdr:rowOff>
    </xdr:from>
    <xdr:to>
      <xdr:col>1</xdr:col>
      <xdr:colOff>571500</xdr:colOff>
      <xdr:row>136</xdr:row>
      <xdr:rowOff>28575</xdr:rowOff>
    </xdr:to>
    <xdr:pic>
      <xdr:nvPicPr>
        <xdr:cNvPr id="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234725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136</xdr:row>
      <xdr:rowOff>180975</xdr:rowOff>
    </xdr:from>
    <xdr:to>
      <xdr:col>2</xdr:col>
      <xdr:colOff>342900</xdr:colOff>
      <xdr:row>138</xdr:row>
      <xdr:rowOff>19050</xdr:rowOff>
    </xdr:to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9606200"/>
          <a:ext cx="9810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145</xdr:row>
      <xdr:rowOff>0</xdr:rowOff>
    </xdr:from>
    <xdr:to>
      <xdr:col>2</xdr:col>
      <xdr:colOff>457200</xdr:colOff>
      <xdr:row>146</xdr:row>
      <xdr:rowOff>28575</xdr:rowOff>
    </xdr:to>
    <xdr:pic>
      <xdr:nvPicPr>
        <xdr:cNvPr id="38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1139725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138</xdr:row>
      <xdr:rowOff>95250</xdr:rowOff>
    </xdr:from>
    <xdr:to>
      <xdr:col>2</xdr:col>
      <xdr:colOff>342900</xdr:colOff>
      <xdr:row>140</xdr:row>
      <xdr:rowOff>85725</xdr:rowOff>
    </xdr:to>
    <xdr:pic>
      <xdr:nvPicPr>
        <xdr:cNvPr id="39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901475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140</xdr:row>
      <xdr:rowOff>85725</xdr:rowOff>
    </xdr:from>
    <xdr:to>
      <xdr:col>3</xdr:col>
      <xdr:colOff>571500</xdr:colOff>
      <xdr:row>142</xdr:row>
      <xdr:rowOff>123825</xdr:rowOff>
    </xdr:to>
    <xdr:pic>
      <xdr:nvPicPr>
        <xdr:cNvPr id="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0272950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120</xdr:row>
      <xdr:rowOff>157370</xdr:rowOff>
    </xdr:from>
    <xdr:to>
      <xdr:col>3</xdr:col>
      <xdr:colOff>673791</xdr:colOff>
      <xdr:row>122</xdr:row>
      <xdr:rowOff>62120</xdr:rowOff>
    </xdr:to>
    <xdr:pic>
      <xdr:nvPicPr>
        <xdr:cNvPr id="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525070"/>
          <a:ext cx="1952625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161</xdr:row>
      <xdr:rowOff>0</xdr:rowOff>
    </xdr:from>
    <xdr:to>
      <xdr:col>2</xdr:col>
      <xdr:colOff>457200</xdr:colOff>
      <xdr:row>162</xdr:row>
      <xdr:rowOff>28575</xdr:rowOff>
    </xdr:to>
    <xdr:pic>
      <xdr:nvPicPr>
        <xdr:cNvPr id="39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419725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154</xdr:row>
      <xdr:rowOff>95250</xdr:rowOff>
    </xdr:from>
    <xdr:to>
      <xdr:col>2</xdr:col>
      <xdr:colOff>342900</xdr:colOff>
      <xdr:row>156</xdr:row>
      <xdr:rowOff>85725</xdr:rowOff>
    </xdr:to>
    <xdr:pic>
      <xdr:nvPicPr>
        <xdr:cNvPr id="39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5295900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156</xdr:row>
      <xdr:rowOff>85725</xdr:rowOff>
    </xdr:from>
    <xdr:to>
      <xdr:col>3</xdr:col>
      <xdr:colOff>571500</xdr:colOff>
      <xdr:row>158</xdr:row>
      <xdr:rowOff>123825</xdr:rowOff>
    </xdr:to>
    <xdr:pic>
      <xdr:nvPicPr>
        <xdr:cNvPr id="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333047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16565</xdr:colOff>
      <xdr:row>151</xdr:row>
      <xdr:rowOff>16565</xdr:rowOff>
    </xdr:from>
    <xdr:to>
      <xdr:col>3</xdr:col>
      <xdr:colOff>0</xdr:colOff>
      <xdr:row>152</xdr:row>
      <xdr:rowOff>35615</xdr:rowOff>
    </xdr:to>
    <xdr:pic>
      <xdr:nvPicPr>
        <xdr:cNvPr id="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5" y="52308815"/>
          <a:ext cx="127883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153</xdr:row>
      <xdr:rowOff>0</xdr:rowOff>
    </xdr:from>
    <xdr:to>
      <xdr:col>3</xdr:col>
      <xdr:colOff>0</xdr:colOff>
      <xdr:row>154</xdr:row>
      <xdr:rowOff>38100</xdr:rowOff>
    </xdr:to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2673250"/>
          <a:ext cx="1297057" cy="228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336401</xdr:colOff>
      <xdr:row>105</xdr:row>
      <xdr:rowOff>184448</xdr:rowOff>
    </xdr:from>
    <xdr:to>
      <xdr:col>0</xdr:col>
      <xdr:colOff>600170</xdr:colOff>
      <xdr:row>107</xdr:row>
      <xdr:rowOff>23256</xdr:rowOff>
    </xdr:to>
    <xdr:sp macro="" textlink="">
      <xdr:nvSpPr>
        <xdr:cNvPr id="398" name="TextBox 397"/>
        <xdr:cNvSpPr txBox="1"/>
      </xdr:nvSpPr>
      <xdr:spPr>
        <a:xfrm>
          <a:off x="336401" y="43685123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3</xdr:col>
      <xdr:colOff>271734</xdr:colOff>
      <xdr:row>105</xdr:row>
      <xdr:rowOff>184447</xdr:rowOff>
    </xdr:from>
    <xdr:to>
      <xdr:col>3</xdr:col>
      <xdr:colOff>530087</xdr:colOff>
      <xdr:row>107</xdr:row>
      <xdr:rowOff>23255</xdr:rowOff>
    </xdr:to>
    <xdr:sp macro="" textlink="">
      <xdr:nvSpPr>
        <xdr:cNvPr id="399" name="TextBox 398"/>
        <xdr:cNvSpPr txBox="1"/>
      </xdr:nvSpPr>
      <xdr:spPr>
        <a:xfrm>
          <a:off x="2214834" y="43685122"/>
          <a:ext cx="258353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109</xdr:row>
      <xdr:rowOff>109904</xdr:rowOff>
    </xdr:from>
    <xdr:to>
      <xdr:col>8</xdr:col>
      <xdr:colOff>454270</xdr:colOff>
      <xdr:row>110</xdr:row>
      <xdr:rowOff>139212</xdr:rowOff>
    </xdr:to>
    <xdr:sp macro="" textlink="">
      <xdr:nvSpPr>
        <xdr:cNvPr id="400" name="TextBox 399"/>
        <xdr:cNvSpPr txBox="1"/>
      </xdr:nvSpPr>
      <xdr:spPr>
        <a:xfrm>
          <a:off x="5810251" y="4437257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</xdr:col>
      <xdr:colOff>28575</xdr:colOff>
      <xdr:row>117</xdr:row>
      <xdr:rowOff>0</xdr:rowOff>
    </xdr:from>
    <xdr:to>
      <xdr:col>1</xdr:col>
      <xdr:colOff>571500</xdr:colOff>
      <xdr:row>118</xdr:row>
      <xdr:rowOff>28575</xdr:rowOff>
    </xdr:to>
    <xdr:pic>
      <xdr:nvPicPr>
        <xdr:cNvPr id="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5796200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129</xdr:row>
      <xdr:rowOff>0</xdr:rowOff>
    </xdr:from>
    <xdr:to>
      <xdr:col>2</xdr:col>
      <xdr:colOff>457200</xdr:colOff>
      <xdr:row>130</xdr:row>
      <xdr:rowOff>28575</xdr:rowOff>
    </xdr:to>
    <xdr:pic>
      <xdr:nvPicPr>
        <xdr:cNvPr id="40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4808220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122</xdr:row>
      <xdr:rowOff>95250</xdr:rowOff>
    </xdr:from>
    <xdr:to>
      <xdr:col>2</xdr:col>
      <xdr:colOff>342900</xdr:colOff>
      <xdr:row>124</xdr:row>
      <xdr:rowOff>85725</xdr:rowOff>
    </xdr:to>
    <xdr:pic>
      <xdr:nvPicPr>
        <xdr:cNvPr id="4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684395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124</xdr:row>
      <xdr:rowOff>85725</xdr:rowOff>
    </xdr:from>
    <xdr:to>
      <xdr:col>3</xdr:col>
      <xdr:colOff>571500</xdr:colOff>
      <xdr:row>126</xdr:row>
      <xdr:rowOff>123825</xdr:rowOff>
    </xdr:to>
    <xdr:pic>
      <xdr:nvPicPr>
        <xdr:cNvPr id="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721542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166</xdr:row>
      <xdr:rowOff>114300</xdr:rowOff>
    </xdr:from>
    <xdr:to>
      <xdr:col>2</xdr:col>
      <xdr:colOff>523875</xdr:colOff>
      <xdr:row>168</xdr:row>
      <xdr:rowOff>161925</xdr:rowOff>
    </xdr:to>
    <xdr:pic>
      <xdr:nvPicPr>
        <xdr:cNvPr id="40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311675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169</xdr:row>
      <xdr:rowOff>28575</xdr:rowOff>
    </xdr:from>
    <xdr:to>
      <xdr:col>1</xdr:col>
      <xdr:colOff>342900</xdr:colOff>
      <xdr:row>170</xdr:row>
      <xdr:rowOff>47625</xdr:rowOff>
    </xdr:to>
    <xdr:pic>
      <xdr:nvPicPr>
        <xdr:cNvPr id="40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797450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170</xdr:row>
      <xdr:rowOff>104775</xdr:rowOff>
    </xdr:from>
    <xdr:to>
      <xdr:col>2</xdr:col>
      <xdr:colOff>114300</xdr:colOff>
      <xdr:row>172</xdr:row>
      <xdr:rowOff>133350</xdr:rowOff>
    </xdr:to>
    <xdr:pic>
      <xdr:nvPicPr>
        <xdr:cNvPr id="40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56073675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171</xdr:row>
      <xdr:rowOff>19050</xdr:rowOff>
    </xdr:from>
    <xdr:to>
      <xdr:col>3</xdr:col>
      <xdr:colOff>304800</xdr:colOff>
      <xdr:row>172</xdr:row>
      <xdr:rowOff>38100</xdr:rowOff>
    </xdr:to>
    <xdr:pic>
      <xdr:nvPicPr>
        <xdr:cNvPr id="40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5617845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276225</xdr:colOff>
      <xdr:row>174</xdr:row>
      <xdr:rowOff>9525</xdr:rowOff>
    </xdr:to>
    <xdr:pic>
      <xdr:nvPicPr>
        <xdr:cNvPr id="409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5654040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41413</xdr:colOff>
      <xdr:row>101</xdr:row>
      <xdr:rowOff>114622</xdr:rowOff>
    </xdr:from>
    <xdr:to>
      <xdr:col>9</xdr:col>
      <xdr:colOff>483041</xdr:colOff>
      <xdr:row>112</xdr:row>
      <xdr:rowOff>180201</xdr:rowOff>
    </xdr:to>
    <xdr:grpSp>
      <xdr:nvGrpSpPr>
        <xdr:cNvPr id="410" name="Группа 409"/>
        <xdr:cNvGrpSpPr/>
      </xdr:nvGrpSpPr>
      <xdr:grpSpPr>
        <a:xfrm>
          <a:off x="38365" y="18771430"/>
          <a:ext cx="6482764" cy="2077259"/>
          <a:chOff x="306457" y="43640045"/>
          <a:chExt cx="8944442" cy="2476192"/>
        </a:xfrm>
      </xdr:grpSpPr>
      <xdr:sp macro="" textlink="">
        <xdr:nvSpPr>
          <xdr:cNvPr id="411" name="Прямоугольник 410"/>
          <xdr:cNvSpPr/>
        </xdr:nvSpPr>
        <xdr:spPr>
          <a:xfrm>
            <a:off x="4116868" y="44929011"/>
            <a:ext cx="545410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pic>
        <xdr:nvPicPr>
          <xdr:cNvPr id="41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066763" y="44494174"/>
            <a:ext cx="670891" cy="371475"/>
          </a:xfrm>
          <a:prstGeom prst="rect">
            <a:avLst/>
          </a:prstGeom>
          <a:noFill/>
        </xdr:spPr>
      </xdr:pic>
      <xdr:cxnSp macro="">
        <xdr:nvCxnSpPr>
          <xdr:cNvPr id="414" name="Прямая со стрелкой 413"/>
          <xdr:cNvCxnSpPr/>
        </xdr:nvCxnSpPr>
        <xdr:spPr>
          <a:xfrm>
            <a:off x="5154049" y="44941435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415" name="Группа 260"/>
          <xdr:cNvGrpSpPr/>
        </xdr:nvGrpSpPr>
        <xdr:grpSpPr>
          <a:xfrm>
            <a:off x="306457" y="44502457"/>
            <a:ext cx="4217090" cy="1236593"/>
            <a:chOff x="306457" y="44502457"/>
            <a:chExt cx="4217090" cy="1236593"/>
          </a:xfrm>
        </xdr:grpSpPr>
        <xdr:cxnSp macro="">
          <xdr:nvCxnSpPr>
            <xdr:cNvPr id="440" name="Прямая соединительная линия 439"/>
            <xdr:cNvCxnSpPr/>
          </xdr:nvCxnSpPr>
          <xdr:spPr>
            <a:xfrm>
              <a:off x="865118" y="45024261"/>
              <a:ext cx="1082537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41" name="Прямоугольник 440"/>
            <xdr:cNvSpPr/>
          </xdr:nvSpPr>
          <xdr:spPr>
            <a:xfrm>
              <a:off x="1957180" y="44929011"/>
              <a:ext cx="447675" cy="1714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cxnSp macro="">
          <xdr:nvCxnSpPr>
            <xdr:cNvPr id="442" name="Прямая соединительная линия 441"/>
            <xdr:cNvCxnSpPr>
              <a:stCxn id="441" idx="3"/>
              <a:endCxn id="411" idx="1"/>
            </xdr:cNvCxnSpPr>
          </xdr:nvCxnSpPr>
          <xdr:spPr>
            <a:xfrm>
              <a:off x="2404855" y="45014736"/>
              <a:ext cx="1712013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3" name="Прямая соединительная линия 442"/>
            <xdr:cNvCxnSpPr/>
          </xdr:nvCxnSpPr>
          <xdr:spPr>
            <a:xfrm rot="5400000">
              <a:off x="711527" y="45024261"/>
              <a:ext cx="297656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444" name="Группа 206"/>
            <xdr:cNvGrpSpPr/>
          </xdr:nvGrpSpPr>
          <xdr:grpSpPr>
            <a:xfrm>
              <a:off x="875956" y="45030837"/>
              <a:ext cx="157654" cy="407563"/>
              <a:chOff x="874682" y="2102069"/>
              <a:chExt cx="157656" cy="552587"/>
            </a:xfrm>
          </xdr:grpSpPr>
          <xdr:cxnSp macro="">
            <xdr:nvCxnSpPr>
              <xdr:cNvPr id="465" name="Прямая соединительная линия 464"/>
              <xdr:cNvCxnSpPr/>
            </xdr:nvCxnSpPr>
            <xdr:spPr>
              <a:xfrm>
                <a:off x="874682" y="2102069"/>
                <a:ext cx="157656" cy="6569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66" name="Прямая со стрелкой 465"/>
              <xdr:cNvCxnSpPr/>
            </xdr:nvCxnSpPr>
            <xdr:spPr>
              <a:xfrm rot="5400000">
                <a:off x="779433" y="2407526"/>
                <a:ext cx="492672" cy="1588"/>
              </a:xfrm>
              <a:prstGeom prst="straightConnector1">
                <a:avLst/>
              </a:prstGeom>
              <a:ln>
                <a:tailEnd type="stealt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45" name="Группа 209"/>
            <xdr:cNvGrpSpPr/>
          </xdr:nvGrpSpPr>
          <xdr:grpSpPr>
            <a:xfrm>
              <a:off x="3079131" y="44876227"/>
              <a:ext cx="587412" cy="562173"/>
              <a:chOff x="3061627" y="1947466"/>
              <a:chExt cx="330550" cy="562173"/>
            </a:xfrm>
          </xdr:grpSpPr>
          <xdr:cxnSp macro="">
            <xdr:nvCxnSpPr>
              <xdr:cNvPr id="458" name="Прямая соединительная линия 457"/>
              <xdr:cNvCxnSpPr/>
            </xdr:nvCxnSpPr>
            <xdr:spPr>
              <a:xfrm rot="5400000">
                <a:off x="3074619" y="2095500"/>
                <a:ext cx="297656" cy="1588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459" name="Группа 51"/>
              <xdr:cNvGrpSpPr/>
            </xdr:nvGrpSpPr>
            <xdr:grpSpPr>
              <a:xfrm>
                <a:off x="3234372" y="2102076"/>
                <a:ext cx="157805" cy="407563"/>
                <a:chOff x="868756" y="2102069"/>
                <a:chExt cx="157807" cy="552587"/>
              </a:xfrm>
            </xdr:grpSpPr>
            <xdr:cxnSp macro="">
              <xdr:nvCxnSpPr>
                <xdr:cNvPr id="463" name="Прямая соединительная линия 462"/>
                <xdr:cNvCxnSpPr/>
              </xdr:nvCxnSpPr>
              <xdr:spPr>
                <a:xfrm>
                  <a:off x="868756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64" name="Прямая со стрелкой 463"/>
                <xdr:cNvCxnSpPr/>
              </xdr:nvCxnSpPr>
              <xdr:spPr>
                <a:xfrm rot="5400000">
                  <a:off x="779433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460" name="Группа 57"/>
              <xdr:cNvGrpSpPr/>
            </xdr:nvGrpSpPr>
            <xdr:grpSpPr>
              <a:xfrm>
                <a:off x="3061627" y="2102076"/>
                <a:ext cx="159206" cy="407563"/>
                <a:chOff x="3056553" y="2102069"/>
                <a:chExt cx="159208" cy="552587"/>
              </a:xfrm>
            </xdr:grpSpPr>
            <xdr:cxnSp macro="">
              <xdr:nvCxnSpPr>
                <xdr:cNvPr id="461" name="Прямая соединительная линия 460"/>
                <xdr:cNvCxnSpPr/>
              </xdr:nvCxnSpPr>
              <xdr:spPr>
                <a:xfrm flipH="1">
                  <a:off x="3058105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62" name="Прямая со стрелкой 461"/>
                <xdr:cNvCxnSpPr/>
              </xdr:nvCxnSpPr>
              <xdr:spPr>
                <a:xfrm rot="16200000" flipH="1">
                  <a:off x="2811011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446" name="Прямая со стрелкой 445"/>
            <xdr:cNvCxnSpPr/>
          </xdr:nvCxnSpPr>
          <xdr:spPr>
            <a:xfrm>
              <a:off x="306457" y="45024261"/>
              <a:ext cx="54665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447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8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896717" y="44502457"/>
              <a:ext cx="581025" cy="371475"/>
            </a:xfrm>
            <a:prstGeom prst="rect">
              <a:avLst/>
            </a:prstGeom>
            <a:noFill/>
          </xdr:spPr>
        </xdr:pic>
        <xdr:pic>
          <xdr:nvPicPr>
            <xdr:cNvPr id="448" name="Picture 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9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578087" y="45546067"/>
              <a:ext cx="945460" cy="190500"/>
            </a:xfrm>
            <a:prstGeom prst="rect">
              <a:avLst/>
            </a:prstGeom>
            <a:noFill/>
          </xdr:spPr>
        </xdr:pic>
        <xdr:pic>
          <xdr:nvPicPr>
            <xdr:cNvPr id="449" name="Picture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828260" y="45529499"/>
              <a:ext cx="428625" cy="209550"/>
            </a:xfrm>
            <a:prstGeom prst="rect">
              <a:avLst/>
            </a:prstGeom>
            <a:noFill/>
          </xdr:spPr>
        </xdr:pic>
        <xdr:pic>
          <xdr:nvPicPr>
            <xdr:cNvPr id="450" name="Picture 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782957" y="45529500"/>
              <a:ext cx="428625" cy="209550"/>
            </a:xfrm>
            <a:prstGeom prst="rect">
              <a:avLst/>
            </a:prstGeom>
            <a:noFill/>
          </xdr:spPr>
        </xdr:pic>
        <xdr:cxnSp macro="">
          <xdr:nvCxnSpPr>
            <xdr:cNvPr id="451" name="Прямая со стрелкой 450"/>
            <xdr:cNvCxnSpPr/>
          </xdr:nvCxnSpPr>
          <xdr:spPr>
            <a:xfrm>
              <a:off x="1151283" y="44941435"/>
              <a:ext cx="513521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2" name="Прямая со стрелкой 451"/>
            <xdr:cNvCxnSpPr/>
          </xdr:nvCxnSpPr>
          <xdr:spPr>
            <a:xfrm>
              <a:off x="2509631" y="44941435"/>
              <a:ext cx="604630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453" name="Picture 7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496956" y="44833761"/>
              <a:ext cx="180975" cy="209550"/>
            </a:xfrm>
            <a:prstGeom prst="rect">
              <a:avLst/>
            </a:prstGeom>
            <a:noFill/>
          </xdr:spPr>
        </xdr:pic>
        <xdr:pic>
          <xdr:nvPicPr>
            <xdr:cNvPr id="454" name="Picture 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2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333500" y="44734369"/>
              <a:ext cx="161925" cy="209550"/>
            </a:xfrm>
            <a:prstGeom prst="rect">
              <a:avLst/>
            </a:prstGeom>
            <a:noFill/>
          </xdr:spPr>
        </xdr:pic>
        <xdr:pic>
          <xdr:nvPicPr>
            <xdr:cNvPr id="455" name="Picture 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816086" y="44734369"/>
              <a:ext cx="152400" cy="209550"/>
            </a:xfrm>
            <a:prstGeom prst="rect">
              <a:avLst/>
            </a:prstGeom>
            <a:noFill/>
          </xdr:spPr>
        </xdr:pic>
        <xdr:pic>
          <xdr:nvPicPr>
            <xdr:cNvPr id="456" name="Picture 1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743739" y="44750935"/>
              <a:ext cx="161925" cy="209550"/>
            </a:xfrm>
            <a:prstGeom prst="rect">
              <a:avLst/>
            </a:prstGeom>
            <a:noFill/>
          </xdr:spPr>
        </xdr:pic>
        <xdr:cxnSp macro="">
          <xdr:nvCxnSpPr>
            <xdr:cNvPr id="457" name="Прямая со стрелкой 456"/>
            <xdr:cNvCxnSpPr/>
          </xdr:nvCxnSpPr>
          <xdr:spPr>
            <a:xfrm>
              <a:off x="3573354" y="44941435"/>
              <a:ext cx="514468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416" name="Прямоугольник 415"/>
          <xdr:cNvSpPr/>
        </xdr:nvSpPr>
        <xdr:spPr>
          <a:xfrm>
            <a:off x="6614577" y="4407488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417" name="Прямая соединительная линия 416"/>
          <xdr:cNvCxnSpPr>
            <a:stCxn id="416" idx="3"/>
            <a:endCxn id="418" idx="2"/>
          </xdr:cNvCxnSpPr>
        </xdr:nvCxnSpPr>
        <xdr:spPr>
          <a:xfrm flipV="1">
            <a:off x="7159986" y="44157078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8" name="Овал 417"/>
          <xdr:cNvSpPr/>
        </xdr:nvSpPr>
        <xdr:spPr>
          <a:xfrm>
            <a:off x="7719890" y="43982100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419" name="Овал 418"/>
          <xdr:cNvSpPr/>
        </xdr:nvSpPr>
        <xdr:spPr>
          <a:xfrm>
            <a:off x="7986490" y="43982100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420" name="Прямая со стрелкой 419"/>
          <xdr:cNvCxnSpPr/>
        </xdr:nvCxnSpPr>
        <xdr:spPr>
          <a:xfrm>
            <a:off x="8384367" y="44170132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1" name="Прямая соединительная линия 420"/>
          <xdr:cNvCxnSpPr/>
        </xdr:nvCxnSpPr>
        <xdr:spPr>
          <a:xfrm rot="5400000">
            <a:off x="8539172" y="4417013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422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564471" y="43640045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423" name="Овал 422"/>
          <xdr:cNvSpPr/>
        </xdr:nvSpPr>
        <xdr:spPr>
          <a:xfrm>
            <a:off x="7450848" y="44135082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424" name="Овал 423"/>
          <xdr:cNvSpPr/>
        </xdr:nvSpPr>
        <xdr:spPr>
          <a:xfrm>
            <a:off x="8664954" y="44150444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425" name="Прямая со стрелкой 424"/>
          <xdr:cNvCxnSpPr/>
        </xdr:nvCxnSpPr>
        <xdr:spPr>
          <a:xfrm>
            <a:off x="7202230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426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16195" y="44054175"/>
            <a:ext cx="190499" cy="219075"/>
          </a:xfrm>
          <a:prstGeom prst="rect">
            <a:avLst/>
          </a:prstGeom>
          <a:noFill/>
        </xdr:spPr>
      </xdr:pic>
      <xdr:sp macro="" textlink="">
        <xdr:nvSpPr>
          <xdr:cNvPr id="427" name="Прямоугольник 426"/>
          <xdr:cNvSpPr/>
        </xdr:nvSpPr>
        <xdr:spPr>
          <a:xfrm>
            <a:off x="6658784" y="4585906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428" name="Прямая соединительная линия 427"/>
          <xdr:cNvCxnSpPr>
            <a:stCxn id="427" idx="3"/>
            <a:endCxn id="429" idx="2"/>
          </xdr:cNvCxnSpPr>
        </xdr:nvCxnSpPr>
        <xdr:spPr>
          <a:xfrm flipV="1">
            <a:off x="7204192" y="45941259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9" name="Овал 428"/>
          <xdr:cNvSpPr/>
        </xdr:nvSpPr>
        <xdr:spPr>
          <a:xfrm>
            <a:off x="7764097" y="45766281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430" name="Овал 429"/>
          <xdr:cNvSpPr/>
        </xdr:nvSpPr>
        <xdr:spPr>
          <a:xfrm>
            <a:off x="8030696" y="45766281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431" name="Прямая со стрелкой 430"/>
          <xdr:cNvCxnSpPr/>
        </xdr:nvCxnSpPr>
        <xdr:spPr>
          <a:xfrm>
            <a:off x="8428573" y="45954313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Прямая соединительная линия 431"/>
          <xdr:cNvCxnSpPr/>
        </xdr:nvCxnSpPr>
        <xdr:spPr>
          <a:xfrm rot="5400000">
            <a:off x="8583378" y="4595431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43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608677" y="45424226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434" name="Овал 433"/>
          <xdr:cNvSpPr/>
        </xdr:nvSpPr>
        <xdr:spPr>
          <a:xfrm>
            <a:off x="7495054" y="45919263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435" name="Овал 434"/>
          <xdr:cNvSpPr/>
        </xdr:nvSpPr>
        <xdr:spPr>
          <a:xfrm>
            <a:off x="8709160" y="45934625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436" name="Прямая со стрелкой 435"/>
          <xdr:cNvCxnSpPr/>
        </xdr:nvCxnSpPr>
        <xdr:spPr>
          <a:xfrm>
            <a:off x="7246436" y="46013840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437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60400" y="45838356"/>
            <a:ext cx="190499" cy="219075"/>
          </a:xfrm>
          <a:prstGeom prst="rect">
            <a:avLst/>
          </a:prstGeom>
          <a:noFill/>
        </xdr:spPr>
      </xdr:pic>
      <xdr:cxnSp macro="">
        <xdr:nvCxnSpPr>
          <xdr:cNvPr id="438" name="Прямая со стрелкой 437"/>
          <xdr:cNvCxnSpPr/>
        </xdr:nvCxnSpPr>
        <xdr:spPr>
          <a:xfrm>
            <a:off x="5876014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Прямая со стрелкой 438"/>
          <xdr:cNvCxnSpPr/>
        </xdr:nvCxnSpPr>
        <xdr:spPr>
          <a:xfrm>
            <a:off x="5876014" y="46023331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</xdr:colOff>
      <xdr:row>179</xdr:row>
      <xdr:rowOff>104775</xdr:rowOff>
    </xdr:from>
    <xdr:to>
      <xdr:col>2</xdr:col>
      <xdr:colOff>428625</xdr:colOff>
      <xdr:row>181</xdr:row>
      <xdr:rowOff>152400</xdr:rowOff>
    </xdr:to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7807225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190</xdr:row>
      <xdr:rowOff>5576</xdr:rowOff>
    </xdr:from>
    <xdr:to>
      <xdr:col>6</xdr:col>
      <xdr:colOff>95251</xdr:colOff>
      <xdr:row>191</xdr:row>
      <xdr:rowOff>38100</xdr:rowOff>
    </xdr:to>
    <xdr:pic>
      <xdr:nvPicPr>
        <xdr:cNvPr id="47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59813051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2</xdr:col>
      <xdr:colOff>717688</xdr:colOff>
      <xdr:row>191</xdr:row>
      <xdr:rowOff>104775</xdr:rowOff>
    </xdr:from>
    <xdr:to>
      <xdr:col>4</xdr:col>
      <xdr:colOff>161511</xdr:colOff>
      <xdr:row>193</xdr:row>
      <xdr:rowOff>95250</xdr:rowOff>
    </xdr:to>
    <xdr:pic>
      <xdr:nvPicPr>
        <xdr:cNvPr id="47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009775" y="36805014"/>
          <a:ext cx="918127" cy="371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202</xdr:row>
      <xdr:rowOff>19050</xdr:rowOff>
    </xdr:from>
    <xdr:to>
      <xdr:col>2</xdr:col>
      <xdr:colOff>638175</xdr:colOff>
      <xdr:row>203</xdr:row>
      <xdr:rowOff>66675</xdr:rowOff>
    </xdr:to>
    <xdr:pic>
      <xdr:nvPicPr>
        <xdr:cNvPr id="47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61922025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2</xdr:col>
      <xdr:colOff>638175</xdr:colOff>
      <xdr:row>207</xdr:row>
      <xdr:rowOff>28575</xdr:rowOff>
    </xdr:to>
    <xdr:pic>
      <xdr:nvPicPr>
        <xdr:cNvPr id="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2664975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2</xdr:col>
      <xdr:colOff>428625</xdr:colOff>
      <xdr:row>209</xdr:row>
      <xdr:rowOff>28575</xdr:rowOff>
    </xdr:to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045975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209</xdr:row>
      <xdr:rowOff>85725</xdr:rowOff>
    </xdr:from>
    <xdr:to>
      <xdr:col>3</xdr:col>
      <xdr:colOff>723900</xdr:colOff>
      <xdr:row>211</xdr:row>
      <xdr:rowOff>133350</xdr:rowOff>
    </xdr:to>
    <xdr:pic>
      <xdr:nvPicPr>
        <xdr:cNvPr id="47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322200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123862</xdr:colOff>
      <xdr:row>103</xdr:row>
      <xdr:rowOff>187938</xdr:rowOff>
    </xdr:from>
    <xdr:to>
      <xdr:col>6</xdr:col>
      <xdr:colOff>436759</xdr:colOff>
      <xdr:row>103</xdr:row>
      <xdr:rowOff>190499</xdr:rowOff>
    </xdr:to>
    <xdr:cxnSp macro="">
      <xdr:nvCxnSpPr>
        <xdr:cNvPr id="479" name="Прямая соединительная линия 478"/>
        <xdr:cNvCxnSpPr/>
      </xdr:nvCxnSpPr>
      <xdr:spPr>
        <a:xfrm rot="10800000" flipV="1">
          <a:off x="4448212" y="43307613"/>
          <a:ext cx="312897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106880</xdr:colOff>
      <xdr:row>103</xdr:row>
      <xdr:rowOff>186586</xdr:rowOff>
    </xdr:from>
    <xdr:to>
      <xdr:col>6</xdr:col>
      <xdr:colOff>108468</xdr:colOff>
      <xdr:row>112</xdr:row>
      <xdr:rowOff>37500</xdr:rowOff>
    </xdr:to>
    <xdr:cxnSp macro="">
      <xdr:nvCxnSpPr>
        <xdr:cNvPr id="480" name="Прямая соединительная линия 479"/>
        <xdr:cNvCxnSpPr/>
      </xdr:nvCxnSpPr>
      <xdr:spPr>
        <a:xfrm rot="5400000">
          <a:off x="3649317" y="44088174"/>
          <a:ext cx="156541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107674</xdr:colOff>
      <xdr:row>112</xdr:row>
      <xdr:rowOff>30569</xdr:rowOff>
    </xdr:from>
    <xdr:to>
      <xdr:col>6</xdr:col>
      <xdr:colOff>478548</xdr:colOff>
      <xdr:row>112</xdr:row>
      <xdr:rowOff>33130</xdr:rowOff>
    </xdr:to>
    <xdr:cxnSp macro="">
      <xdr:nvCxnSpPr>
        <xdr:cNvPr id="481" name="Прямая соединительная линия 480"/>
        <xdr:cNvCxnSpPr>
          <a:endCxn id="427" idx="1"/>
        </xdr:cNvCxnSpPr>
      </xdr:nvCxnSpPr>
      <xdr:spPr>
        <a:xfrm flipV="1">
          <a:off x="4432024" y="44864744"/>
          <a:ext cx="370874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169229</xdr:colOff>
      <xdr:row>106</xdr:row>
      <xdr:rowOff>115956</xdr:rowOff>
    </xdr:from>
    <xdr:to>
      <xdr:col>5</xdr:col>
      <xdr:colOff>403854</xdr:colOff>
      <xdr:row>107</xdr:row>
      <xdr:rowOff>101876</xdr:rowOff>
    </xdr:to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50629" y="43807131"/>
          <a:ext cx="234625" cy="17642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704022</xdr:colOff>
      <xdr:row>102</xdr:row>
      <xdr:rowOff>98799</xdr:rowOff>
    </xdr:from>
    <xdr:to>
      <xdr:col>6</xdr:col>
      <xdr:colOff>183873</xdr:colOff>
      <xdr:row>103</xdr:row>
      <xdr:rowOff>85309</xdr:rowOff>
    </xdr:to>
    <xdr:pic>
      <xdr:nvPicPr>
        <xdr:cNvPr id="48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2" y="43027974"/>
          <a:ext cx="222801" cy="17701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704021</xdr:colOff>
      <xdr:row>112</xdr:row>
      <xdr:rowOff>146327</xdr:rowOff>
    </xdr:from>
    <xdr:to>
      <xdr:col>6</xdr:col>
      <xdr:colOff>202923</xdr:colOff>
      <xdr:row>113</xdr:row>
      <xdr:rowOff>135007</xdr:rowOff>
    </xdr:to>
    <xdr:pic>
      <xdr:nvPicPr>
        <xdr:cNvPr id="48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1" y="44980502"/>
          <a:ext cx="241852" cy="17918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118</xdr:row>
      <xdr:rowOff>149087</xdr:rowOff>
    </xdr:from>
    <xdr:to>
      <xdr:col>1</xdr:col>
      <xdr:colOff>483291</xdr:colOff>
      <xdr:row>120</xdr:row>
      <xdr:rowOff>53837</xdr:rowOff>
    </xdr:to>
    <xdr:pic>
      <xdr:nvPicPr>
        <xdr:cNvPr id="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135787"/>
          <a:ext cx="466725" cy="285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116</xdr:row>
      <xdr:rowOff>157370</xdr:rowOff>
    </xdr:from>
    <xdr:to>
      <xdr:col>2</xdr:col>
      <xdr:colOff>346213</xdr:colOff>
      <xdr:row>118</xdr:row>
      <xdr:rowOff>62120</xdr:rowOff>
    </xdr:to>
    <xdr:pic>
      <xdr:nvPicPr>
        <xdr:cNvPr id="48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6813" y="45763070"/>
          <a:ext cx="304800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135</xdr:row>
      <xdr:rowOff>0</xdr:rowOff>
    </xdr:from>
    <xdr:to>
      <xdr:col>1</xdr:col>
      <xdr:colOff>571500</xdr:colOff>
      <xdr:row>136</xdr:row>
      <xdr:rowOff>28575</xdr:rowOff>
    </xdr:to>
    <xdr:pic>
      <xdr:nvPicPr>
        <xdr:cNvPr id="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234725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136</xdr:row>
      <xdr:rowOff>180975</xdr:rowOff>
    </xdr:from>
    <xdr:to>
      <xdr:col>2</xdr:col>
      <xdr:colOff>342900</xdr:colOff>
      <xdr:row>138</xdr:row>
      <xdr:rowOff>19050</xdr:rowOff>
    </xdr:to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9606200"/>
          <a:ext cx="9810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145</xdr:row>
      <xdr:rowOff>0</xdr:rowOff>
    </xdr:from>
    <xdr:to>
      <xdr:col>2</xdr:col>
      <xdr:colOff>457200</xdr:colOff>
      <xdr:row>146</xdr:row>
      <xdr:rowOff>28575</xdr:rowOff>
    </xdr:to>
    <xdr:pic>
      <xdr:nvPicPr>
        <xdr:cNvPr id="48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1139725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138</xdr:row>
      <xdr:rowOff>95250</xdr:rowOff>
    </xdr:from>
    <xdr:to>
      <xdr:col>2</xdr:col>
      <xdr:colOff>342900</xdr:colOff>
      <xdr:row>140</xdr:row>
      <xdr:rowOff>85725</xdr:rowOff>
    </xdr:to>
    <xdr:pic>
      <xdr:nvPicPr>
        <xdr:cNvPr id="49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901475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140</xdr:row>
      <xdr:rowOff>85725</xdr:rowOff>
    </xdr:from>
    <xdr:to>
      <xdr:col>3</xdr:col>
      <xdr:colOff>571500</xdr:colOff>
      <xdr:row>142</xdr:row>
      <xdr:rowOff>123825</xdr:rowOff>
    </xdr:to>
    <xdr:pic>
      <xdr:nvPicPr>
        <xdr:cNvPr id="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0272950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120</xdr:row>
      <xdr:rowOff>157370</xdr:rowOff>
    </xdr:from>
    <xdr:to>
      <xdr:col>3</xdr:col>
      <xdr:colOff>673791</xdr:colOff>
      <xdr:row>122</xdr:row>
      <xdr:rowOff>62120</xdr:rowOff>
    </xdr:to>
    <xdr:pic>
      <xdr:nvPicPr>
        <xdr:cNvPr id="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525070"/>
          <a:ext cx="1952625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161</xdr:row>
      <xdr:rowOff>0</xdr:rowOff>
    </xdr:from>
    <xdr:to>
      <xdr:col>2</xdr:col>
      <xdr:colOff>457200</xdr:colOff>
      <xdr:row>162</xdr:row>
      <xdr:rowOff>28575</xdr:rowOff>
    </xdr:to>
    <xdr:pic>
      <xdr:nvPicPr>
        <xdr:cNvPr id="49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419725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154</xdr:row>
      <xdr:rowOff>95250</xdr:rowOff>
    </xdr:from>
    <xdr:to>
      <xdr:col>2</xdr:col>
      <xdr:colOff>342900</xdr:colOff>
      <xdr:row>156</xdr:row>
      <xdr:rowOff>85725</xdr:rowOff>
    </xdr:to>
    <xdr:pic>
      <xdr:nvPicPr>
        <xdr:cNvPr id="49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5295900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156</xdr:row>
      <xdr:rowOff>85725</xdr:rowOff>
    </xdr:from>
    <xdr:to>
      <xdr:col>3</xdr:col>
      <xdr:colOff>571500</xdr:colOff>
      <xdr:row>158</xdr:row>
      <xdr:rowOff>123825</xdr:rowOff>
    </xdr:to>
    <xdr:pic>
      <xdr:nvPicPr>
        <xdr:cNvPr id="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333047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16565</xdr:colOff>
      <xdr:row>151</xdr:row>
      <xdr:rowOff>16565</xdr:rowOff>
    </xdr:from>
    <xdr:to>
      <xdr:col>3</xdr:col>
      <xdr:colOff>0</xdr:colOff>
      <xdr:row>152</xdr:row>
      <xdr:rowOff>35615</xdr:rowOff>
    </xdr:to>
    <xdr:pic>
      <xdr:nvPicPr>
        <xdr:cNvPr id="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5" y="52308815"/>
          <a:ext cx="127883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153</xdr:row>
      <xdr:rowOff>0</xdr:rowOff>
    </xdr:from>
    <xdr:to>
      <xdr:col>3</xdr:col>
      <xdr:colOff>0</xdr:colOff>
      <xdr:row>154</xdr:row>
      <xdr:rowOff>38100</xdr:rowOff>
    </xdr:to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2673250"/>
          <a:ext cx="1297057" cy="228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336401</xdr:colOff>
      <xdr:row>105</xdr:row>
      <xdr:rowOff>184448</xdr:rowOff>
    </xdr:from>
    <xdr:to>
      <xdr:col>0</xdr:col>
      <xdr:colOff>600170</xdr:colOff>
      <xdr:row>107</xdr:row>
      <xdr:rowOff>23256</xdr:rowOff>
    </xdr:to>
    <xdr:sp macro="" textlink="">
      <xdr:nvSpPr>
        <xdr:cNvPr id="498" name="TextBox 497"/>
        <xdr:cNvSpPr txBox="1"/>
      </xdr:nvSpPr>
      <xdr:spPr>
        <a:xfrm>
          <a:off x="336401" y="43685123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3</xdr:col>
      <xdr:colOff>271734</xdr:colOff>
      <xdr:row>105</xdr:row>
      <xdr:rowOff>184447</xdr:rowOff>
    </xdr:from>
    <xdr:to>
      <xdr:col>3</xdr:col>
      <xdr:colOff>530087</xdr:colOff>
      <xdr:row>107</xdr:row>
      <xdr:rowOff>23255</xdr:rowOff>
    </xdr:to>
    <xdr:sp macro="" textlink="">
      <xdr:nvSpPr>
        <xdr:cNvPr id="499" name="TextBox 498"/>
        <xdr:cNvSpPr txBox="1"/>
      </xdr:nvSpPr>
      <xdr:spPr>
        <a:xfrm>
          <a:off x="2214834" y="43685122"/>
          <a:ext cx="258353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109</xdr:row>
      <xdr:rowOff>109904</xdr:rowOff>
    </xdr:from>
    <xdr:to>
      <xdr:col>8</xdr:col>
      <xdr:colOff>454270</xdr:colOff>
      <xdr:row>110</xdr:row>
      <xdr:rowOff>139212</xdr:rowOff>
    </xdr:to>
    <xdr:sp macro="" textlink="">
      <xdr:nvSpPr>
        <xdr:cNvPr id="500" name="TextBox 499"/>
        <xdr:cNvSpPr txBox="1"/>
      </xdr:nvSpPr>
      <xdr:spPr>
        <a:xfrm>
          <a:off x="5810251" y="4437257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</xdr:col>
      <xdr:colOff>28575</xdr:colOff>
      <xdr:row>117</xdr:row>
      <xdr:rowOff>0</xdr:rowOff>
    </xdr:from>
    <xdr:to>
      <xdr:col>1</xdr:col>
      <xdr:colOff>571500</xdr:colOff>
      <xdr:row>118</xdr:row>
      <xdr:rowOff>28575</xdr:rowOff>
    </xdr:to>
    <xdr:pic>
      <xdr:nvPicPr>
        <xdr:cNvPr id="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5796200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129</xdr:row>
      <xdr:rowOff>0</xdr:rowOff>
    </xdr:from>
    <xdr:to>
      <xdr:col>2</xdr:col>
      <xdr:colOff>457200</xdr:colOff>
      <xdr:row>130</xdr:row>
      <xdr:rowOff>28575</xdr:rowOff>
    </xdr:to>
    <xdr:pic>
      <xdr:nvPicPr>
        <xdr:cNvPr id="50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4808220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122</xdr:row>
      <xdr:rowOff>95250</xdr:rowOff>
    </xdr:from>
    <xdr:to>
      <xdr:col>2</xdr:col>
      <xdr:colOff>342900</xdr:colOff>
      <xdr:row>124</xdr:row>
      <xdr:rowOff>85725</xdr:rowOff>
    </xdr:to>
    <xdr:pic>
      <xdr:nvPicPr>
        <xdr:cNvPr id="5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684395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124</xdr:row>
      <xdr:rowOff>85725</xdr:rowOff>
    </xdr:from>
    <xdr:to>
      <xdr:col>3</xdr:col>
      <xdr:colOff>571500</xdr:colOff>
      <xdr:row>126</xdr:row>
      <xdr:rowOff>123825</xdr:rowOff>
    </xdr:to>
    <xdr:pic>
      <xdr:nvPicPr>
        <xdr:cNvPr id="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721542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166</xdr:row>
      <xdr:rowOff>114300</xdr:rowOff>
    </xdr:from>
    <xdr:to>
      <xdr:col>2</xdr:col>
      <xdr:colOff>523875</xdr:colOff>
      <xdr:row>168</xdr:row>
      <xdr:rowOff>161925</xdr:rowOff>
    </xdr:to>
    <xdr:pic>
      <xdr:nvPicPr>
        <xdr:cNvPr id="50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311675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169</xdr:row>
      <xdr:rowOff>28575</xdr:rowOff>
    </xdr:from>
    <xdr:to>
      <xdr:col>1</xdr:col>
      <xdr:colOff>342900</xdr:colOff>
      <xdr:row>170</xdr:row>
      <xdr:rowOff>47625</xdr:rowOff>
    </xdr:to>
    <xdr:pic>
      <xdr:nvPicPr>
        <xdr:cNvPr id="50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797450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170</xdr:row>
      <xdr:rowOff>104775</xdr:rowOff>
    </xdr:from>
    <xdr:to>
      <xdr:col>2</xdr:col>
      <xdr:colOff>114300</xdr:colOff>
      <xdr:row>172</xdr:row>
      <xdr:rowOff>133350</xdr:rowOff>
    </xdr:to>
    <xdr:pic>
      <xdr:nvPicPr>
        <xdr:cNvPr id="50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56073675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171</xdr:row>
      <xdr:rowOff>19050</xdr:rowOff>
    </xdr:from>
    <xdr:to>
      <xdr:col>3</xdr:col>
      <xdr:colOff>304800</xdr:colOff>
      <xdr:row>172</xdr:row>
      <xdr:rowOff>38100</xdr:rowOff>
    </xdr:to>
    <xdr:pic>
      <xdr:nvPicPr>
        <xdr:cNvPr id="50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5617845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276225</xdr:colOff>
      <xdr:row>174</xdr:row>
      <xdr:rowOff>9525</xdr:rowOff>
    </xdr:to>
    <xdr:pic>
      <xdr:nvPicPr>
        <xdr:cNvPr id="509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5654040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41413</xdr:colOff>
      <xdr:row>101</xdr:row>
      <xdr:rowOff>114622</xdr:rowOff>
    </xdr:from>
    <xdr:to>
      <xdr:col>9</xdr:col>
      <xdr:colOff>483041</xdr:colOff>
      <xdr:row>112</xdr:row>
      <xdr:rowOff>180201</xdr:rowOff>
    </xdr:to>
    <xdr:grpSp>
      <xdr:nvGrpSpPr>
        <xdr:cNvPr id="510" name="Группа 509"/>
        <xdr:cNvGrpSpPr/>
      </xdr:nvGrpSpPr>
      <xdr:grpSpPr>
        <a:xfrm>
          <a:off x="38365" y="18771430"/>
          <a:ext cx="6482764" cy="2077259"/>
          <a:chOff x="306457" y="43640045"/>
          <a:chExt cx="8944442" cy="2476192"/>
        </a:xfrm>
      </xdr:grpSpPr>
      <xdr:sp macro="" textlink="">
        <xdr:nvSpPr>
          <xdr:cNvPr id="511" name="Прямоугольник 510"/>
          <xdr:cNvSpPr/>
        </xdr:nvSpPr>
        <xdr:spPr>
          <a:xfrm>
            <a:off x="4116868" y="44929011"/>
            <a:ext cx="545410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pic>
        <xdr:nvPicPr>
          <xdr:cNvPr id="51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066763" y="44494174"/>
            <a:ext cx="670891" cy="371475"/>
          </a:xfrm>
          <a:prstGeom prst="rect">
            <a:avLst/>
          </a:prstGeom>
          <a:noFill/>
        </xdr:spPr>
      </xdr:pic>
      <xdr:cxnSp macro="">
        <xdr:nvCxnSpPr>
          <xdr:cNvPr id="514" name="Прямая со стрелкой 513"/>
          <xdr:cNvCxnSpPr/>
        </xdr:nvCxnSpPr>
        <xdr:spPr>
          <a:xfrm>
            <a:off x="5154049" y="44941435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515" name="Группа 260"/>
          <xdr:cNvGrpSpPr/>
        </xdr:nvGrpSpPr>
        <xdr:grpSpPr>
          <a:xfrm>
            <a:off x="306457" y="44502457"/>
            <a:ext cx="4217090" cy="1236593"/>
            <a:chOff x="306457" y="44502457"/>
            <a:chExt cx="4217090" cy="1236593"/>
          </a:xfrm>
        </xdr:grpSpPr>
        <xdr:cxnSp macro="">
          <xdr:nvCxnSpPr>
            <xdr:cNvPr id="540" name="Прямая соединительная линия 539"/>
            <xdr:cNvCxnSpPr/>
          </xdr:nvCxnSpPr>
          <xdr:spPr>
            <a:xfrm>
              <a:off x="865118" y="45024261"/>
              <a:ext cx="1082537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41" name="Прямоугольник 540"/>
            <xdr:cNvSpPr/>
          </xdr:nvSpPr>
          <xdr:spPr>
            <a:xfrm>
              <a:off x="1957180" y="44929011"/>
              <a:ext cx="447675" cy="1714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cxnSp macro="">
          <xdr:nvCxnSpPr>
            <xdr:cNvPr id="542" name="Прямая соединительная линия 541"/>
            <xdr:cNvCxnSpPr>
              <a:stCxn id="541" idx="3"/>
              <a:endCxn id="511" idx="1"/>
            </xdr:cNvCxnSpPr>
          </xdr:nvCxnSpPr>
          <xdr:spPr>
            <a:xfrm>
              <a:off x="2404855" y="45014736"/>
              <a:ext cx="1712013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3" name="Прямая соединительная линия 542"/>
            <xdr:cNvCxnSpPr/>
          </xdr:nvCxnSpPr>
          <xdr:spPr>
            <a:xfrm rot="5400000">
              <a:off x="711527" y="45024261"/>
              <a:ext cx="297656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544" name="Группа 206"/>
            <xdr:cNvGrpSpPr/>
          </xdr:nvGrpSpPr>
          <xdr:grpSpPr>
            <a:xfrm>
              <a:off x="875956" y="45030837"/>
              <a:ext cx="157654" cy="407563"/>
              <a:chOff x="874682" y="2102069"/>
              <a:chExt cx="157656" cy="552587"/>
            </a:xfrm>
          </xdr:grpSpPr>
          <xdr:cxnSp macro="">
            <xdr:nvCxnSpPr>
              <xdr:cNvPr id="565" name="Прямая соединительная линия 564"/>
              <xdr:cNvCxnSpPr/>
            </xdr:nvCxnSpPr>
            <xdr:spPr>
              <a:xfrm>
                <a:off x="874682" y="2102069"/>
                <a:ext cx="157656" cy="6569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566" name="Прямая со стрелкой 565"/>
              <xdr:cNvCxnSpPr/>
            </xdr:nvCxnSpPr>
            <xdr:spPr>
              <a:xfrm rot="5400000">
                <a:off x="779433" y="2407526"/>
                <a:ext cx="492672" cy="1588"/>
              </a:xfrm>
              <a:prstGeom prst="straightConnector1">
                <a:avLst/>
              </a:prstGeom>
              <a:ln>
                <a:tailEnd type="stealt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545" name="Группа 209"/>
            <xdr:cNvGrpSpPr/>
          </xdr:nvGrpSpPr>
          <xdr:grpSpPr>
            <a:xfrm>
              <a:off x="3079129" y="44876227"/>
              <a:ext cx="587412" cy="562173"/>
              <a:chOff x="3061627" y="1947466"/>
              <a:chExt cx="330550" cy="562173"/>
            </a:xfrm>
          </xdr:grpSpPr>
          <xdr:cxnSp macro="">
            <xdr:nvCxnSpPr>
              <xdr:cNvPr id="558" name="Прямая соединительная линия 557"/>
              <xdr:cNvCxnSpPr/>
            </xdr:nvCxnSpPr>
            <xdr:spPr>
              <a:xfrm rot="5400000">
                <a:off x="3074619" y="2095500"/>
                <a:ext cx="297656" cy="1588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559" name="Группа 51"/>
              <xdr:cNvGrpSpPr/>
            </xdr:nvGrpSpPr>
            <xdr:grpSpPr>
              <a:xfrm>
                <a:off x="3234372" y="2102076"/>
                <a:ext cx="157805" cy="407563"/>
                <a:chOff x="868756" y="2102069"/>
                <a:chExt cx="157807" cy="552587"/>
              </a:xfrm>
            </xdr:grpSpPr>
            <xdr:cxnSp macro="">
              <xdr:nvCxnSpPr>
                <xdr:cNvPr id="563" name="Прямая соединительная линия 562"/>
                <xdr:cNvCxnSpPr/>
              </xdr:nvCxnSpPr>
              <xdr:spPr>
                <a:xfrm>
                  <a:off x="868756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64" name="Прямая со стрелкой 563"/>
                <xdr:cNvCxnSpPr/>
              </xdr:nvCxnSpPr>
              <xdr:spPr>
                <a:xfrm rot="5400000">
                  <a:off x="779433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560" name="Группа 57"/>
              <xdr:cNvGrpSpPr/>
            </xdr:nvGrpSpPr>
            <xdr:grpSpPr>
              <a:xfrm>
                <a:off x="3061627" y="2102076"/>
                <a:ext cx="159206" cy="407563"/>
                <a:chOff x="3056553" y="2102069"/>
                <a:chExt cx="159208" cy="552587"/>
              </a:xfrm>
            </xdr:grpSpPr>
            <xdr:cxnSp macro="">
              <xdr:nvCxnSpPr>
                <xdr:cNvPr id="561" name="Прямая соединительная линия 560"/>
                <xdr:cNvCxnSpPr/>
              </xdr:nvCxnSpPr>
              <xdr:spPr>
                <a:xfrm flipH="1">
                  <a:off x="3058105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62" name="Прямая со стрелкой 561"/>
                <xdr:cNvCxnSpPr/>
              </xdr:nvCxnSpPr>
              <xdr:spPr>
                <a:xfrm rot="16200000" flipH="1">
                  <a:off x="2811011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546" name="Прямая со стрелкой 545"/>
            <xdr:cNvCxnSpPr/>
          </xdr:nvCxnSpPr>
          <xdr:spPr>
            <a:xfrm>
              <a:off x="306457" y="45024261"/>
              <a:ext cx="54665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547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8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896717" y="44502457"/>
              <a:ext cx="581025" cy="371475"/>
            </a:xfrm>
            <a:prstGeom prst="rect">
              <a:avLst/>
            </a:prstGeom>
            <a:noFill/>
          </xdr:spPr>
        </xdr:pic>
        <xdr:pic>
          <xdr:nvPicPr>
            <xdr:cNvPr id="548" name="Picture 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9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578087" y="45546067"/>
              <a:ext cx="945460" cy="190500"/>
            </a:xfrm>
            <a:prstGeom prst="rect">
              <a:avLst/>
            </a:prstGeom>
            <a:noFill/>
          </xdr:spPr>
        </xdr:pic>
        <xdr:pic>
          <xdr:nvPicPr>
            <xdr:cNvPr id="549" name="Picture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828260" y="45529499"/>
              <a:ext cx="428625" cy="209550"/>
            </a:xfrm>
            <a:prstGeom prst="rect">
              <a:avLst/>
            </a:prstGeom>
            <a:noFill/>
          </xdr:spPr>
        </xdr:pic>
        <xdr:pic>
          <xdr:nvPicPr>
            <xdr:cNvPr id="550" name="Picture 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782957" y="45529500"/>
              <a:ext cx="428625" cy="209550"/>
            </a:xfrm>
            <a:prstGeom prst="rect">
              <a:avLst/>
            </a:prstGeom>
            <a:noFill/>
          </xdr:spPr>
        </xdr:pic>
        <xdr:cxnSp macro="">
          <xdr:nvCxnSpPr>
            <xdr:cNvPr id="551" name="Прямая со стрелкой 550"/>
            <xdr:cNvCxnSpPr/>
          </xdr:nvCxnSpPr>
          <xdr:spPr>
            <a:xfrm>
              <a:off x="1151283" y="44941435"/>
              <a:ext cx="513521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2" name="Прямая со стрелкой 551"/>
            <xdr:cNvCxnSpPr/>
          </xdr:nvCxnSpPr>
          <xdr:spPr>
            <a:xfrm>
              <a:off x="2509631" y="44941435"/>
              <a:ext cx="604630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553" name="Picture 7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496956" y="44833761"/>
              <a:ext cx="180975" cy="209550"/>
            </a:xfrm>
            <a:prstGeom prst="rect">
              <a:avLst/>
            </a:prstGeom>
            <a:noFill/>
          </xdr:spPr>
        </xdr:pic>
        <xdr:pic>
          <xdr:nvPicPr>
            <xdr:cNvPr id="554" name="Picture 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2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333500" y="44734369"/>
              <a:ext cx="161925" cy="209550"/>
            </a:xfrm>
            <a:prstGeom prst="rect">
              <a:avLst/>
            </a:prstGeom>
            <a:noFill/>
          </xdr:spPr>
        </xdr:pic>
        <xdr:pic>
          <xdr:nvPicPr>
            <xdr:cNvPr id="555" name="Picture 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816086" y="44734369"/>
              <a:ext cx="152400" cy="209550"/>
            </a:xfrm>
            <a:prstGeom prst="rect">
              <a:avLst/>
            </a:prstGeom>
            <a:noFill/>
          </xdr:spPr>
        </xdr:pic>
        <xdr:pic>
          <xdr:nvPicPr>
            <xdr:cNvPr id="556" name="Picture 1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743739" y="44750935"/>
              <a:ext cx="161925" cy="209550"/>
            </a:xfrm>
            <a:prstGeom prst="rect">
              <a:avLst/>
            </a:prstGeom>
            <a:noFill/>
          </xdr:spPr>
        </xdr:pic>
        <xdr:cxnSp macro="">
          <xdr:nvCxnSpPr>
            <xdr:cNvPr id="557" name="Прямая со стрелкой 556"/>
            <xdr:cNvCxnSpPr/>
          </xdr:nvCxnSpPr>
          <xdr:spPr>
            <a:xfrm>
              <a:off x="3573354" y="44941435"/>
              <a:ext cx="514468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516" name="Прямоугольник 515"/>
          <xdr:cNvSpPr/>
        </xdr:nvSpPr>
        <xdr:spPr>
          <a:xfrm>
            <a:off x="6614577" y="4407488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517" name="Прямая соединительная линия 516"/>
          <xdr:cNvCxnSpPr>
            <a:stCxn id="516" idx="3"/>
            <a:endCxn id="518" idx="2"/>
          </xdr:cNvCxnSpPr>
        </xdr:nvCxnSpPr>
        <xdr:spPr>
          <a:xfrm flipV="1">
            <a:off x="7159986" y="44157078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18" name="Овал 517"/>
          <xdr:cNvSpPr/>
        </xdr:nvSpPr>
        <xdr:spPr>
          <a:xfrm>
            <a:off x="7719890" y="43982100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519" name="Овал 518"/>
          <xdr:cNvSpPr/>
        </xdr:nvSpPr>
        <xdr:spPr>
          <a:xfrm>
            <a:off x="7986490" y="43982100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520" name="Прямая со стрелкой 519"/>
          <xdr:cNvCxnSpPr/>
        </xdr:nvCxnSpPr>
        <xdr:spPr>
          <a:xfrm>
            <a:off x="8384367" y="44170132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1" name="Прямая соединительная линия 520"/>
          <xdr:cNvCxnSpPr/>
        </xdr:nvCxnSpPr>
        <xdr:spPr>
          <a:xfrm rot="5400000">
            <a:off x="8539172" y="4417013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522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564471" y="43640045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523" name="Овал 522"/>
          <xdr:cNvSpPr/>
        </xdr:nvSpPr>
        <xdr:spPr>
          <a:xfrm>
            <a:off x="7450848" y="44135082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524" name="Овал 523"/>
          <xdr:cNvSpPr/>
        </xdr:nvSpPr>
        <xdr:spPr>
          <a:xfrm>
            <a:off x="8664954" y="44150444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525" name="Прямая со стрелкой 524"/>
          <xdr:cNvCxnSpPr/>
        </xdr:nvCxnSpPr>
        <xdr:spPr>
          <a:xfrm>
            <a:off x="7202230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526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16195" y="44054175"/>
            <a:ext cx="190499" cy="219075"/>
          </a:xfrm>
          <a:prstGeom prst="rect">
            <a:avLst/>
          </a:prstGeom>
          <a:noFill/>
        </xdr:spPr>
      </xdr:pic>
      <xdr:sp macro="" textlink="">
        <xdr:nvSpPr>
          <xdr:cNvPr id="527" name="Прямоугольник 526"/>
          <xdr:cNvSpPr/>
        </xdr:nvSpPr>
        <xdr:spPr>
          <a:xfrm>
            <a:off x="6658784" y="4585906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528" name="Прямая соединительная линия 527"/>
          <xdr:cNvCxnSpPr>
            <a:stCxn id="527" idx="3"/>
            <a:endCxn id="529" idx="2"/>
          </xdr:cNvCxnSpPr>
        </xdr:nvCxnSpPr>
        <xdr:spPr>
          <a:xfrm flipV="1">
            <a:off x="7204192" y="45941259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29" name="Овал 528"/>
          <xdr:cNvSpPr/>
        </xdr:nvSpPr>
        <xdr:spPr>
          <a:xfrm>
            <a:off x="7764097" y="45766281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530" name="Овал 529"/>
          <xdr:cNvSpPr/>
        </xdr:nvSpPr>
        <xdr:spPr>
          <a:xfrm>
            <a:off x="8030696" y="45766281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531" name="Прямая со стрелкой 530"/>
          <xdr:cNvCxnSpPr/>
        </xdr:nvCxnSpPr>
        <xdr:spPr>
          <a:xfrm>
            <a:off x="8428573" y="45954313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2" name="Прямая соединительная линия 531"/>
          <xdr:cNvCxnSpPr/>
        </xdr:nvCxnSpPr>
        <xdr:spPr>
          <a:xfrm rot="5400000">
            <a:off x="8583378" y="4595431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53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608677" y="45424226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534" name="Овал 533"/>
          <xdr:cNvSpPr/>
        </xdr:nvSpPr>
        <xdr:spPr>
          <a:xfrm>
            <a:off x="7495054" y="45919263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535" name="Овал 534"/>
          <xdr:cNvSpPr/>
        </xdr:nvSpPr>
        <xdr:spPr>
          <a:xfrm>
            <a:off x="8709160" y="45934625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536" name="Прямая со стрелкой 535"/>
          <xdr:cNvCxnSpPr/>
        </xdr:nvCxnSpPr>
        <xdr:spPr>
          <a:xfrm>
            <a:off x="7246436" y="46013840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537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60400" y="45838356"/>
            <a:ext cx="190499" cy="219075"/>
          </a:xfrm>
          <a:prstGeom prst="rect">
            <a:avLst/>
          </a:prstGeom>
          <a:noFill/>
        </xdr:spPr>
      </xdr:pic>
      <xdr:cxnSp macro="">
        <xdr:nvCxnSpPr>
          <xdr:cNvPr id="538" name="Прямая со стрелкой 537"/>
          <xdr:cNvCxnSpPr/>
        </xdr:nvCxnSpPr>
        <xdr:spPr>
          <a:xfrm>
            <a:off x="5876014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9" name="Прямая со стрелкой 538"/>
          <xdr:cNvCxnSpPr/>
        </xdr:nvCxnSpPr>
        <xdr:spPr>
          <a:xfrm>
            <a:off x="5876014" y="46023331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</xdr:colOff>
      <xdr:row>179</xdr:row>
      <xdr:rowOff>104775</xdr:rowOff>
    </xdr:from>
    <xdr:to>
      <xdr:col>2</xdr:col>
      <xdr:colOff>428625</xdr:colOff>
      <xdr:row>181</xdr:row>
      <xdr:rowOff>152400</xdr:rowOff>
    </xdr:to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7807225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190</xdr:row>
      <xdr:rowOff>5576</xdr:rowOff>
    </xdr:from>
    <xdr:to>
      <xdr:col>6</xdr:col>
      <xdr:colOff>95251</xdr:colOff>
      <xdr:row>191</xdr:row>
      <xdr:rowOff>38100</xdr:rowOff>
    </xdr:to>
    <xdr:pic>
      <xdr:nvPicPr>
        <xdr:cNvPr id="57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59813051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2</xdr:col>
      <xdr:colOff>689113</xdr:colOff>
      <xdr:row>193</xdr:row>
      <xdr:rowOff>95250</xdr:rowOff>
    </xdr:from>
    <xdr:to>
      <xdr:col>4</xdr:col>
      <xdr:colOff>161511</xdr:colOff>
      <xdr:row>195</xdr:row>
      <xdr:rowOff>85725</xdr:rowOff>
    </xdr:to>
    <xdr:pic>
      <xdr:nvPicPr>
        <xdr:cNvPr id="57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81200" y="37176489"/>
          <a:ext cx="946702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218661</xdr:colOff>
      <xdr:row>196</xdr:row>
      <xdr:rowOff>9525</xdr:rowOff>
    </xdr:from>
    <xdr:to>
      <xdr:col>4</xdr:col>
      <xdr:colOff>151986</xdr:colOff>
      <xdr:row>197</xdr:row>
      <xdr:rowOff>38100</xdr:rowOff>
    </xdr:to>
    <xdr:pic>
      <xdr:nvPicPr>
        <xdr:cNvPr id="574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10748" y="37662264"/>
          <a:ext cx="1407629" cy="219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202</xdr:row>
      <xdr:rowOff>19050</xdr:rowOff>
    </xdr:from>
    <xdr:to>
      <xdr:col>2</xdr:col>
      <xdr:colOff>638175</xdr:colOff>
      <xdr:row>203</xdr:row>
      <xdr:rowOff>66675</xdr:rowOff>
    </xdr:to>
    <xdr:pic>
      <xdr:nvPicPr>
        <xdr:cNvPr id="57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61922025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2</xdr:col>
      <xdr:colOff>638175</xdr:colOff>
      <xdr:row>207</xdr:row>
      <xdr:rowOff>28575</xdr:rowOff>
    </xdr:to>
    <xdr:pic>
      <xdr:nvPicPr>
        <xdr:cNvPr id="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2664975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2</xdr:col>
      <xdr:colOff>428625</xdr:colOff>
      <xdr:row>209</xdr:row>
      <xdr:rowOff>28575</xdr:rowOff>
    </xdr:to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045975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209</xdr:row>
      <xdr:rowOff>85725</xdr:rowOff>
    </xdr:from>
    <xdr:to>
      <xdr:col>3</xdr:col>
      <xdr:colOff>723900</xdr:colOff>
      <xdr:row>211</xdr:row>
      <xdr:rowOff>133350</xdr:rowOff>
    </xdr:to>
    <xdr:pic>
      <xdr:nvPicPr>
        <xdr:cNvPr id="57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322200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123862</xdr:colOff>
      <xdr:row>103</xdr:row>
      <xdr:rowOff>187938</xdr:rowOff>
    </xdr:from>
    <xdr:to>
      <xdr:col>6</xdr:col>
      <xdr:colOff>436759</xdr:colOff>
      <xdr:row>103</xdr:row>
      <xdr:rowOff>190499</xdr:rowOff>
    </xdr:to>
    <xdr:cxnSp macro="">
      <xdr:nvCxnSpPr>
        <xdr:cNvPr id="579" name="Прямая соединительная линия 578"/>
        <xdr:cNvCxnSpPr/>
      </xdr:nvCxnSpPr>
      <xdr:spPr>
        <a:xfrm rot="10800000" flipV="1">
          <a:off x="4448212" y="43307613"/>
          <a:ext cx="312897" cy="25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106880</xdr:colOff>
      <xdr:row>103</xdr:row>
      <xdr:rowOff>186586</xdr:rowOff>
    </xdr:from>
    <xdr:to>
      <xdr:col>6</xdr:col>
      <xdr:colOff>108468</xdr:colOff>
      <xdr:row>112</xdr:row>
      <xdr:rowOff>37500</xdr:rowOff>
    </xdr:to>
    <xdr:cxnSp macro="">
      <xdr:nvCxnSpPr>
        <xdr:cNvPr id="580" name="Прямая соединительная линия 579"/>
        <xdr:cNvCxnSpPr/>
      </xdr:nvCxnSpPr>
      <xdr:spPr>
        <a:xfrm rot="5400000">
          <a:off x="3649317" y="44088174"/>
          <a:ext cx="156541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107674</xdr:colOff>
      <xdr:row>112</xdr:row>
      <xdr:rowOff>30569</xdr:rowOff>
    </xdr:from>
    <xdr:to>
      <xdr:col>6</xdr:col>
      <xdr:colOff>534328</xdr:colOff>
      <xdr:row>112</xdr:row>
      <xdr:rowOff>33131</xdr:rowOff>
    </xdr:to>
    <xdr:cxnSp macro="">
      <xdr:nvCxnSpPr>
        <xdr:cNvPr id="581" name="Прямая соединительная линия 580"/>
        <xdr:cNvCxnSpPr>
          <a:endCxn id="627" idx="1"/>
        </xdr:cNvCxnSpPr>
      </xdr:nvCxnSpPr>
      <xdr:spPr>
        <a:xfrm flipV="1">
          <a:off x="4243529" y="21577122"/>
          <a:ext cx="426654" cy="25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169229</xdr:colOff>
      <xdr:row>106</xdr:row>
      <xdr:rowOff>115956</xdr:rowOff>
    </xdr:from>
    <xdr:to>
      <xdr:col>5</xdr:col>
      <xdr:colOff>403854</xdr:colOff>
      <xdr:row>107</xdr:row>
      <xdr:rowOff>101876</xdr:rowOff>
    </xdr:to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50629" y="43807131"/>
          <a:ext cx="234625" cy="17642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704022</xdr:colOff>
      <xdr:row>102</xdr:row>
      <xdr:rowOff>98799</xdr:rowOff>
    </xdr:from>
    <xdr:to>
      <xdr:col>6</xdr:col>
      <xdr:colOff>183873</xdr:colOff>
      <xdr:row>103</xdr:row>
      <xdr:rowOff>85309</xdr:rowOff>
    </xdr:to>
    <xdr:pic>
      <xdr:nvPicPr>
        <xdr:cNvPr id="58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2" y="43027974"/>
          <a:ext cx="222801" cy="17701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704021</xdr:colOff>
      <xdr:row>112</xdr:row>
      <xdr:rowOff>146327</xdr:rowOff>
    </xdr:from>
    <xdr:to>
      <xdr:col>6</xdr:col>
      <xdr:colOff>202923</xdr:colOff>
      <xdr:row>113</xdr:row>
      <xdr:rowOff>135007</xdr:rowOff>
    </xdr:to>
    <xdr:pic>
      <xdr:nvPicPr>
        <xdr:cNvPr id="58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1" y="44980502"/>
          <a:ext cx="241852" cy="17918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118</xdr:row>
      <xdr:rowOff>149087</xdr:rowOff>
    </xdr:from>
    <xdr:to>
      <xdr:col>1</xdr:col>
      <xdr:colOff>483291</xdr:colOff>
      <xdr:row>120</xdr:row>
      <xdr:rowOff>53837</xdr:rowOff>
    </xdr:to>
    <xdr:pic>
      <xdr:nvPicPr>
        <xdr:cNvPr id="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135787"/>
          <a:ext cx="466725" cy="285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116</xdr:row>
      <xdr:rowOff>157370</xdr:rowOff>
    </xdr:from>
    <xdr:to>
      <xdr:col>2</xdr:col>
      <xdr:colOff>346213</xdr:colOff>
      <xdr:row>118</xdr:row>
      <xdr:rowOff>62120</xdr:rowOff>
    </xdr:to>
    <xdr:pic>
      <xdr:nvPicPr>
        <xdr:cNvPr id="58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6813" y="45763070"/>
          <a:ext cx="304800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135</xdr:row>
      <xdr:rowOff>0</xdr:rowOff>
    </xdr:from>
    <xdr:to>
      <xdr:col>1</xdr:col>
      <xdr:colOff>571500</xdr:colOff>
      <xdr:row>136</xdr:row>
      <xdr:rowOff>28575</xdr:rowOff>
    </xdr:to>
    <xdr:pic>
      <xdr:nvPicPr>
        <xdr:cNvPr id="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234725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136</xdr:row>
      <xdr:rowOff>180975</xdr:rowOff>
    </xdr:from>
    <xdr:to>
      <xdr:col>2</xdr:col>
      <xdr:colOff>342900</xdr:colOff>
      <xdr:row>138</xdr:row>
      <xdr:rowOff>19050</xdr:rowOff>
    </xdr:to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9606200"/>
          <a:ext cx="9810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145</xdr:row>
      <xdr:rowOff>0</xdr:rowOff>
    </xdr:from>
    <xdr:to>
      <xdr:col>2</xdr:col>
      <xdr:colOff>457200</xdr:colOff>
      <xdr:row>146</xdr:row>
      <xdr:rowOff>28575</xdr:rowOff>
    </xdr:to>
    <xdr:pic>
      <xdr:nvPicPr>
        <xdr:cNvPr id="58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1139725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138</xdr:row>
      <xdr:rowOff>95250</xdr:rowOff>
    </xdr:from>
    <xdr:to>
      <xdr:col>2</xdr:col>
      <xdr:colOff>342900</xdr:colOff>
      <xdr:row>140</xdr:row>
      <xdr:rowOff>85725</xdr:rowOff>
    </xdr:to>
    <xdr:pic>
      <xdr:nvPicPr>
        <xdr:cNvPr id="59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901475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140</xdr:row>
      <xdr:rowOff>85725</xdr:rowOff>
    </xdr:from>
    <xdr:to>
      <xdr:col>3</xdr:col>
      <xdr:colOff>571500</xdr:colOff>
      <xdr:row>142</xdr:row>
      <xdr:rowOff>123825</xdr:rowOff>
    </xdr:to>
    <xdr:pic>
      <xdr:nvPicPr>
        <xdr:cNvPr id="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0272950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120</xdr:row>
      <xdr:rowOff>157370</xdr:rowOff>
    </xdr:from>
    <xdr:to>
      <xdr:col>3</xdr:col>
      <xdr:colOff>673791</xdr:colOff>
      <xdr:row>122</xdr:row>
      <xdr:rowOff>62120</xdr:rowOff>
    </xdr:to>
    <xdr:pic>
      <xdr:nvPicPr>
        <xdr:cNvPr id="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525070"/>
          <a:ext cx="1952625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161</xdr:row>
      <xdr:rowOff>0</xdr:rowOff>
    </xdr:from>
    <xdr:to>
      <xdr:col>2</xdr:col>
      <xdr:colOff>457200</xdr:colOff>
      <xdr:row>162</xdr:row>
      <xdr:rowOff>28575</xdr:rowOff>
    </xdr:to>
    <xdr:pic>
      <xdr:nvPicPr>
        <xdr:cNvPr id="59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419725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154</xdr:row>
      <xdr:rowOff>95250</xdr:rowOff>
    </xdr:from>
    <xdr:to>
      <xdr:col>2</xdr:col>
      <xdr:colOff>342900</xdr:colOff>
      <xdr:row>156</xdr:row>
      <xdr:rowOff>85725</xdr:rowOff>
    </xdr:to>
    <xdr:pic>
      <xdr:nvPicPr>
        <xdr:cNvPr id="59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5295900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156</xdr:row>
      <xdr:rowOff>85725</xdr:rowOff>
    </xdr:from>
    <xdr:to>
      <xdr:col>3</xdr:col>
      <xdr:colOff>571500</xdr:colOff>
      <xdr:row>158</xdr:row>
      <xdr:rowOff>123825</xdr:rowOff>
    </xdr:to>
    <xdr:pic>
      <xdr:nvPicPr>
        <xdr:cNvPr id="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333047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16565</xdr:colOff>
      <xdr:row>151</xdr:row>
      <xdr:rowOff>16565</xdr:rowOff>
    </xdr:from>
    <xdr:to>
      <xdr:col>3</xdr:col>
      <xdr:colOff>0</xdr:colOff>
      <xdr:row>152</xdr:row>
      <xdr:rowOff>35615</xdr:rowOff>
    </xdr:to>
    <xdr:pic>
      <xdr:nvPicPr>
        <xdr:cNvPr id="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5" y="52308815"/>
          <a:ext cx="127883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153</xdr:row>
      <xdr:rowOff>0</xdr:rowOff>
    </xdr:from>
    <xdr:to>
      <xdr:col>3</xdr:col>
      <xdr:colOff>0</xdr:colOff>
      <xdr:row>154</xdr:row>
      <xdr:rowOff>38100</xdr:rowOff>
    </xdr:to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2673250"/>
          <a:ext cx="1297057" cy="228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336401</xdr:colOff>
      <xdr:row>105</xdr:row>
      <xdr:rowOff>184448</xdr:rowOff>
    </xdr:from>
    <xdr:to>
      <xdr:col>0</xdr:col>
      <xdr:colOff>600170</xdr:colOff>
      <xdr:row>107</xdr:row>
      <xdr:rowOff>23256</xdr:rowOff>
    </xdr:to>
    <xdr:sp macro="" textlink="">
      <xdr:nvSpPr>
        <xdr:cNvPr id="598" name="TextBox 597"/>
        <xdr:cNvSpPr txBox="1"/>
      </xdr:nvSpPr>
      <xdr:spPr>
        <a:xfrm>
          <a:off x="336401" y="43685123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3</xdr:col>
      <xdr:colOff>271734</xdr:colOff>
      <xdr:row>105</xdr:row>
      <xdr:rowOff>184447</xdr:rowOff>
    </xdr:from>
    <xdr:to>
      <xdr:col>3</xdr:col>
      <xdr:colOff>530087</xdr:colOff>
      <xdr:row>107</xdr:row>
      <xdr:rowOff>23255</xdr:rowOff>
    </xdr:to>
    <xdr:sp macro="" textlink="">
      <xdr:nvSpPr>
        <xdr:cNvPr id="599" name="TextBox 598"/>
        <xdr:cNvSpPr txBox="1"/>
      </xdr:nvSpPr>
      <xdr:spPr>
        <a:xfrm>
          <a:off x="2214834" y="43685122"/>
          <a:ext cx="258353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190501</xdr:colOff>
      <xdr:row>109</xdr:row>
      <xdr:rowOff>109904</xdr:rowOff>
    </xdr:from>
    <xdr:to>
      <xdr:col>8</xdr:col>
      <xdr:colOff>454270</xdr:colOff>
      <xdr:row>110</xdr:row>
      <xdr:rowOff>139212</xdr:rowOff>
    </xdr:to>
    <xdr:sp macro="" textlink="">
      <xdr:nvSpPr>
        <xdr:cNvPr id="600" name="TextBox 599"/>
        <xdr:cNvSpPr txBox="1"/>
      </xdr:nvSpPr>
      <xdr:spPr>
        <a:xfrm>
          <a:off x="5810251" y="44372579"/>
          <a:ext cx="263769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</xdr:col>
      <xdr:colOff>28575</xdr:colOff>
      <xdr:row>117</xdr:row>
      <xdr:rowOff>0</xdr:rowOff>
    </xdr:from>
    <xdr:to>
      <xdr:col>1</xdr:col>
      <xdr:colOff>571500</xdr:colOff>
      <xdr:row>118</xdr:row>
      <xdr:rowOff>28575</xdr:rowOff>
    </xdr:to>
    <xdr:pic>
      <xdr:nvPicPr>
        <xdr:cNvPr id="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5796200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129</xdr:row>
      <xdr:rowOff>0</xdr:rowOff>
    </xdr:from>
    <xdr:to>
      <xdr:col>2</xdr:col>
      <xdr:colOff>457200</xdr:colOff>
      <xdr:row>130</xdr:row>
      <xdr:rowOff>28575</xdr:rowOff>
    </xdr:to>
    <xdr:pic>
      <xdr:nvPicPr>
        <xdr:cNvPr id="60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4808220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122</xdr:row>
      <xdr:rowOff>95250</xdr:rowOff>
    </xdr:from>
    <xdr:to>
      <xdr:col>2</xdr:col>
      <xdr:colOff>342900</xdr:colOff>
      <xdr:row>124</xdr:row>
      <xdr:rowOff>85725</xdr:rowOff>
    </xdr:to>
    <xdr:pic>
      <xdr:nvPicPr>
        <xdr:cNvPr id="6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684395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124</xdr:row>
      <xdr:rowOff>85725</xdr:rowOff>
    </xdr:from>
    <xdr:to>
      <xdr:col>3</xdr:col>
      <xdr:colOff>571500</xdr:colOff>
      <xdr:row>126</xdr:row>
      <xdr:rowOff>123825</xdr:rowOff>
    </xdr:to>
    <xdr:pic>
      <xdr:nvPicPr>
        <xdr:cNvPr id="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721542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166</xdr:row>
      <xdr:rowOff>114300</xdr:rowOff>
    </xdr:from>
    <xdr:to>
      <xdr:col>2</xdr:col>
      <xdr:colOff>523875</xdr:colOff>
      <xdr:row>168</xdr:row>
      <xdr:rowOff>161925</xdr:rowOff>
    </xdr:to>
    <xdr:pic>
      <xdr:nvPicPr>
        <xdr:cNvPr id="60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311675"/>
          <a:ext cx="1152525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169</xdr:row>
      <xdr:rowOff>28575</xdr:rowOff>
    </xdr:from>
    <xdr:to>
      <xdr:col>1</xdr:col>
      <xdr:colOff>342900</xdr:colOff>
      <xdr:row>170</xdr:row>
      <xdr:rowOff>47625</xdr:rowOff>
    </xdr:to>
    <xdr:pic>
      <xdr:nvPicPr>
        <xdr:cNvPr id="60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5797450"/>
          <a:ext cx="3238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170</xdr:row>
      <xdr:rowOff>104775</xdr:rowOff>
    </xdr:from>
    <xdr:to>
      <xdr:col>2</xdr:col>
      <xdr:colOff>114300</xdr:colOff>
      <xdr:row>172</xdr:row>
      <xdr:rowOff>133350</xdr:rowOff>
    </xdr:to>
    <xdr:pic>
      <xdr:nvPicPr>
        <xdr:cNvPr id="60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56073675"/>
          <a:ext cx="762000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171</xdr:row>
      <xdr:rowOff>19050</xdr:rowOff>
    </xdr:from>
    <xdr:to>
      <xdr:col>3</xdr:col>
      <xdr:colOff>304800</xdr:colOff>
      <xdr:row>172</xdr:row>
      <xdr:rowOff>38100</xdr:rowOff>
    </xdr:to>
    <xdr:pic>
      <xdr:nvPicPr>
        <xdr:cNvPr id="60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675" y="5617845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276225</xdr:colOff>
      <xdr:row>174</xdr:row>
      <xdr:rowOff>9525</xdr:rowOff>
    </xdr:to>
    <xdr:pic>
      <xdr:nvPicPr>
        <xdr:cNvPr id="609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24350" y="56540400"/>
          <a:ext cx="27622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41413</xdr:colOff>
      <xdr:row>101</xdr:row>
      <xdr:rowOff>114622</xdr:rowOff>
    </xdr:from>
    <xdr:to>
      <xdr:col>9</xdr:col>
      <xdr:colOff>483041</xdr:colOff>
      <xdr:row>112</xdr:row>
      <xdr:rowOff>180201</xdr:rowOff>
    </xdr:to>
    <xdr:grpSp>
      <xdr:nvGrpSpPr>
        <xdr:cNvPr id="610" name="Группа 609"/>
        <xdr:cNvGrpSpPr/>
      </xdr:nvGrpSpPr>
      <xdr:grpSpPr>
        <a:xfrm>
          <a:off x="38365" y="18771430"/>
          <a:ext cx="6482764" cy="2077259"/>
          <a:chOff x="306457" y="43640045"/>
          <a:chExt cx="8944442" cy="2476192"/>
        </a:xfrm>
      </xdr:grpSpPr>
      <xdr:sp macro="" textlink="">
        <xdr:nvSpPr>
          <xdr:cNvPr id="611" name="Прямоугольник 610"/>
          <xdr:cNvSpPr/>
        </xdr:nvSpPr>
        <xdr:spPr>
          <a:xfrm>
            <a:off x="4116868" y="44929011"/>
            <a:ext cx="545410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pic>
        <xdr:nvPicPr>
          <xdr:cNvPr id="61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066763" y="44494174"/>
            <a:ext cx="670891" cy="371475"/>
          </a:xfrm>
          <a:prstGeom prst="rect">
            <a:avLst/>
          </a:prstGeom>
          <a:noFill/>
        </xdr:spPr>
      </xdr:pic>
      <xdr:cxnSp macro="">
        <xdr:nvCxnSpPr>
          <xdr:cNvPr id="614" name="Прямая со стрелкой 613"/>
          <xdr:cNvCxnSpPr/>
        </xdr:nvCxnSpPr>
        <xdr:spPr>
          <a:xfrm>
            <a:off x="5154049" y="44941435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615" name="Группа 260"/>
          <xdr:cNvGrpSpPr/>
        </xdr:nvGrpSpPr>
        <xdr:grpSpPr>
          <a:xfrm>
            <a:off x="306457" y="44502457"/>
            <a:ext cx="4217090" cy="1236593"/>
            <a:chOff x="306457" y="44502457"/>
            <a:chExt cx="4217090" cy="1236593"/>
          </a:xfrm>
        </xdr:grpSpPr>
        <xdr:cxnSp macro="">
          <xdr:nvCxnSpPr>
            <xdr:cNvPr id="640" name="Прямая соединительная линия 639"/>
            <xdr:cNvCxnSpPr/>
          </xdr:nvCxnSpPr>
          <xdr:spPr>
            <a:xfrm>
              <a:off x="865118" y="45024261"/>
              <a:ext cx="1082537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641" name="Прямоугольник 640"/>
            <xdr:cNvSpPr/>
          </xdr:nvSpPr>
          <xdr:spPr>
            <a:xfrm>
              <a:off x="1957180" y="44929011"/>
              <a:ext cx="447675" cy="1714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cxnSp macro="">
          <xdr:nvCxnSpPr>
            <xdr:cNvPr id="642" name="Прямая соединительная линия 641"/>
            <xdr:cNvCxnSpPr>
              <a:stCxn id="641" idx="3"/>
              <a:endCxn id="611" idx="1"/>
            </xdr:cNvCxnSpPr>
          </xdr:nvCxnSpPr>
          <xdr:spPr>
            <a:xfrm>
              <a:off x="2404855" y="45014736"/>
              <a:ext cx="1712013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43" name="Прямая соединительная линия 642"/>
            <xdr:cNvCxnSpPr/>
          </xdr:nvCxnSpPr>
          <xdr:spPr>
            <a:xfrm rot="5400000">
              <a:off x="711527" y="45024261"/>
              <a:ext cx="297656" cy="1588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644" name="Группа 206"/>
            <xdr:cNvGrpSpPr/>
          </xdr:nvGrpSpPr>
          <xdr:grpSpPr>
            <a:xfrm>
              <a:off x="875956" y="45030837"/>
              <a:ext cx="157654" cy="407563"/>
              <a:chOff x="874682" y="2102069"/>
              <a:chExt cx="157656" cy="552587"/>
            </a:xfrm>
          </xdr:grpSpPr>
          <xdr:cxnSp macro="">
            <xdr:nvCxnSpPr>
              <xdr:cNvPr id="665" name="Прямая соединительная линия 664"/>
              <xdr:cNvCxnSpPr/>
            </xdr:nvCxnSpPr>
            <xdr:spPr>
              <a:xfrm>
                <a:off x="874682" y="2102069"/>
                <a:ext cx="157656" cy="6569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666" name="Прямая со стрелкой 665"/>
              <xdr:cNvCxnSpPr/>
            </xdr:nvCxnSpPr>
            <xdr:spPr>
              <a:xfrm rot="5400000">
                <a:off x="779433" y="2407526"/>
                <a:ext cx="492672" cy="1588"/>
              </a:xfrm>
              <a:prstGeom prst="straightConnector1">
                <a:avLst/>
              </a:prstGeom>
              <a:ln>
                <a:tailEnd type="stealt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645" name="Группа 209"/>
            <xdr:cNvGrpSpPr/>
          </xdr:nvGrpSpPr>
          <xdr:grpSpPr>
            <a:xfrm>
              <a:off x="3079131" y="44876227"/>
              <a:ext cx="587412" cy="562173"/>
              <a:chOff x="3061627" y="1947466"/>
              <a:chExt cx="330550" cy="562173"/>
            </a:xfrm>
          </xdr:grpSpPr>
          <xdr:cxnSp macro="">
            <xdr:nvCxnSpPr>
              <xdr:cNvPr id="658" name="Прямая соединительная линия 657"/>
              <xdr:cNvCxnSpPr/>
            </xdr:nvCxnSpPr>
            <xdr:spPr>
              <a:xfrm rot="5400000">
                <a:off x="3074619" y="2095500"/>
                <a:ext cx="297656" cy="1588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659" name="Группа 51"/>
              <xdr:cNvGrpSpPr/>
            </xdr:nvGrpSpPr>
            <xdr:grpSpPr>
              <a:xfrm>
                <a:off x="3234372" y="2102076"/>
                <a:ext cx="157805" cy="407563"/>
                <a:chOff x="868756" y="2102069"/>
                <a:chExt cx="157807" cy="552587"/>
              </a:xfrm>
            </xdr:grpSpPr>
            <xdr:cxnSp macro="">
              <xdr:nvCxnSpPr>
                <xdr:cNvPr id="663" name="Прямая соединительная линия 662"/>
                <xdr:cNvCxnSpPr/>
              </xdr:nvCxnSpPr>
              <xdr:spPr>
                <a:xfrm>
                  <a:off x="868756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64" name="Прямая со стрелкой 663"/>
                <xdr:cNvCxnSpPr/>
              </xdr:nvCxnSpPr>
              <xdr:spPr>
                <a:xfrm rot="5400000">
                  <a:off x="779433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660" name="Группа 57"/>
              <xdr:cNvGrpSpPr/>
            </xdr:nvGrpSpPr>
            <xdr:grpSpPr>
              <a:xfrm>
                <a:off x="3061627" y="2102076"/>
                <a:ext cx="159206" cy="407563"/>
                <a:chOff x="3056553" y="2102069"/>
                <a:chExt cx="159208" cy="552587"/>
              </a:xfrm>
            </xdr:grpSpPr>
            <xdr:cxnSp macro="">
              <xdr:nvCxnSpPr>
                <xdr:cNvPr id="661" name="Прямая соединительная линия 660"/>
                <xdr:cNvCxnSpPr/>
              </xdr:nvCxnSpPr>
              <xdr:spPr>
                <a:xfrm flipH="1">
                  <a:off x="3058105" y="2102069"/>
                  <a:ext cx="157656" cy="65690"/>
                </a:xfrm>
                <a:prstGeom prst="line">
                  <a:avLst/>
                </a:prstGeom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62" name="Прямая со стрелкой 661"/>
                <xdr:cNvCxnSpPr/>
              </xdr:nvCxnSpPr>
              <xdr:spPr>
                <a:xfrm rot="16200000" flipH="1">
                  <a:off x="2811011" y="2407526"/>
                  <a:ext cx="492672" cy="1588"/>
                </a:xfrm>
                <a:prstGeom prst="straightConnector1">
                  <a:avLst/>
                </a:prstGeom>
                <a:ln>
                  <a:tailEnd type="stealt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646" name="Прямая со стрелкой 645"/>
            <xdr:cNvCxnSpPr/>
          </xdr:nvCxnSpPr>
          <xdr:spPr>
            <a:xfrm>
              <a:off x="306457" y="45024261"/>
              <a:ext cx="546652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647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8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896717" y="44502457"/>
              <a:ext cx="581025" cy="371475"/>
            </a:xfrm>
            <a:prstGeom prst="rect">
              <a:avLst/>
            </a:prstGeom>
            <a:noFill/>
          </xdr:spPr>
        </xdr:pic>
        <xdr:pic>
          <xdr:nvPicPr>
            <xdr:cNvPr id="648" name="Picture 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9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578087" y="45546067"/>
              <a:ext cx="945460" cy="190500"/>
            </a:xfrm>
            <a:prstGeom prst="rect">
              <a:avLst/>
            </a:prstGeom>
            <a:noFill/>
          </xdr:spPr>
        </xdr:pic>
        <xdr:pic>
          <xdr:nvPicPr>
            <xdr:cNvPr id="649" name="Picture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828260" y="45529499"/>
              <a:ext cx="428625" cy="209550"/>
            </a:xfrm>
            <a:prstGeom prst="rect">
              <a:avLst/>
            </a:prstGeom>
            <a:noFill/>
          </xdr:spPr>
        </xdr:pic>
        <xdr:pic>
          <xdr:nvPicPr>
            <xdr:cNvPr id="650" name="Picture 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782957" y="45529500"/>
              <a:ext cx="428625" cy="209550"/>
            </a:xfrm>
            <a:prstGeom prst="rect">
              <a:avLst/>
            </a:prstGeom>
            <a:noFill/>
          </xdr:spPr>
        </xdr:pic>
        <xdr:cxnSp macro="">
          <xdr:nvCxnSpPr>
            <xdr:cNvPr id="651" name="Прямая со стрелкой 650"/>
            <xdr:cNvCxnSpPr/>
          </xdr:nvCxnSpPr>
          <xdr:spPr>
            <a:xfrm>
              <a:off x="1151283" y="44941435"/>
              <a:ext cx="513521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" name="Прямая со стрелкой 651"/>
            <xdr:cNvCxnSpPr/>
          </xdr:nvCxnSpPr>
          <xdr:spPr>
            <a:xfrm>
              <a:off x="2509631" y="44941435"/>
              <a:ext cx="604630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pic>
          <xdr:nvPicPr>
            <xdr:cNvPr id="653" name="Picture 7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496956" y="44833761"/>
              <a:ext cx="180975" cy="209550"/>
            </a:xfrm>
            <a:prstGeom prst="rect">
              <a:avLst/>
            </a:prstGeom>
            <a:noFill/>
          </xdr:spPr>
        </xdr:pic>
        <xdr:pic>
          <xdr:nvPicPr>
            <xdr:cNvPr id="654" name="Picture 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2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1333500" y="44734369"/>
              <a:ext cx="161925" cy="209550"/>
            </a:xfrm>
            <a:prstGeom prst="rect">
              <a:avLst/>
            </a:prstGeom>
            <a:noFill/>
          </xdr:spPr>
        </xdr:pic>
        <xdr:pic>
          <xdr:nvPicPr>
            <xdr:cNvPr id="655" name="Picture 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2816086" y="44734369"/>
              <a:ext cx="152400" cy="209550"/>
            </a:xfrm>
            <a:prstGeom prst="rect">
              <a:avLst/>
            </a:prstGeom>
            <a:noFill/>
          </xdr:spPr>
        </xdr:pic>
        <xdr:pic>
          <xdr:nvPicPr>
            <xdr:cNvPr id="656" name="Picture 1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rcRect/>
            <a:stretch>
              <a:fillRect/>
            </a:stretch>
          </xdr:blipFill>
          <xdr:spPr bwMode="auto">
            <a:xfrm>
              <a:off x="3743739" y="44750935"/>
              <a:ext cx="161925" cy="209550"/>
            </a:xfrm>
            <a:prstGeom prst="rect">
              <a:avLst/>
            </a:prstGeom>
            <a:noFill/>
          </xdr:spPr>
        </xdr:pic>
        <xdr:cxnSp macro="">
          <xdr:nvCxnSpPr>
            <xdr:cNvPr id="657" name="Прямая со стрелкой 656"/>
            <xdr:cNvCxnSpPr/>
          </xdr:nvCxnSpPr>
          <xdr:spPr>
            <a:xfrm>
              <a:off x="3573354" y="44941435"/>
              <a:ext cx="514468" cy="1588"/>
            </a:xfrm>
            <a:prstGeom prst="straightConnector1">
              <a:avLst/>
            </a:prstGeom>
            <a:ln>
              <a:tailEnd type="stealt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616" name="Прямоугольник 615"/>
          <xdr:cNvSpPr/>
        </xdr:nvSpPr>
        <xdr:spPr>
          <a:xfrm>
            <a:off x="6614577" y="4407488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617" name="Прямая соединительная линия 616"/>
          <xdr:cNvCxnSpPr>
            <a:stCxn id="616" idx="3"/>
            <a:endCxn id="618" idx="2"/>
          </xdr:cNvCxnSpPr>
        </xdr:nvCxnSpPr>
        <xdr:spPr>
          <a:xfrm flipV="1">
            <a:off x="7159986" y="44157078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18" name="Овал 617"/>
          <xdr:cNvSpPr/>
        </xdr:nvSpPr>
        <xdr:spPr>
          <a:xfrm>
            <a:off x="7719890" y="43982100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619" name="Овал 618"/>
          <xdr:cNvSpPr/>
        </xdr:nvSpPr>
        <xdr:spPr>
          <a:xfrm>
            <a:off x="7986490" y="43982100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620" name="Прямая со стрелкой 619"/>
          <xdr:cNvCxnSpPr/>
        </xdr:nvCxnSpPr>
        <xdr:spPr>
          <a:xfrm>
            <a:off x="8384367" y="44170132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1" name="Прямая соединительная линия 620"/>
          <xdr:cNvCxnSpPr/>
        </xdr:nvCxnSpPr>
        <xdr:spPr>
          <a:xfrm rot="5400000">
            <a:off x="8539172" y="4417013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622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564471" y="43640045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623" name="Овал 622"/>
          <xdr:cNvSpPr/>
        </xdr:nvSpPr>
        <xdr:spPr>
          <a:xfrm>
            <a:off x="7450848" y="44135082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624" name="Овал 623"/>
          <xdr:cNvSpPr/>
        </xdr:nvSpPr>
        <xdr:spPr>
          <a:xfrm>
            <a:off x="8664954" y="44150444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625" name="Прямая со стрелкой 624"/>
          <xdr:cNvCxnSpPr/>
        </xdr:nvCxnSpPr>
        <xdr:spPr>
          <a:xfrm>
            <a:off x="7202230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626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16195" y="44054175"/>
            <a:ext cx="190499" cy="219075"/>
          </a:xfrm>
          <a:prstGeom prst="rect">
            <a:avLst/>
          </a:prstGeom>
          <a:noFill/>
        </xdr:spPr>
      </xdr:pic>
      <xdr:sp macro="" textlink="">
        <xdr:nvSpPr>
          <xdr:cNvPr id="627" name="Прямоугольник 626"/>
          <xdr:cNvSpPr/>
        </xdr:nvSpPr>
        <xdr:spPr>
          <a:xfrm>
            <a:off x="6658784" y="45859062"/>
            <a:ext cx="545409" cy="171450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628" name="Прямая соединительная линия 627"/>
          <xdr:cNvCxnSpPr>
            <a:stCxn id="627" idx="3"/>
            <a:endCxn id="629" idx="2"/>
          </xdr:cNvCxnSpPr>
        </xdr:nvCxnSpPr>
        <xdr:spPr>
          <a:xfrm flipV="1">
            <a:off x="7204192" y="45941259"/>
            <a:ext cx="559904" cy="35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29" name="Овал 628"/>
          <xdr:cNvSpPr/>
        </xdr:nvSpPr>
        <xdr:spPr>
          <a:xfrm>
            <a:off x="7764097" y="45766281"/>
            <a:ext cx="386851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630" name="Овал 629"/>
          <xdr:cNvSpPr/>
        </xdr:nvSpPr>
        <xdr:spPr>
          <a:xfrm>
            <a:off x="8030696" y="45766281"/>
            <a:ext cx="397909" cy="349956"/>
          </a:xfrm>
          <a:prstGeom prst="ellipse">
            <a:avLst/>
          </a:prstGeom>
          <a:noFill/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631" name="Прямая со стрелкой 630"/>
          <xdr:cNvCxnSpPr/>
        </xdr:nvCxnSpPr>
        <xdr:spPr>
          <a:xfrm>
            <a:off x="8428573" y="45954313"/>
            <a:ext cx="596037" cy="5799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2" name="Прямая соединительная линия 631"/>
          <xdr:cNvCxnSpPr/>
        </xdr:nvCxnSpPr>
        <xdr:spPr>
          <a:xfrm rot="5400000">
            <a:off x="8583378" y="45954314"/>
            <a:ext cx="297656" cy="158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63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6608677" y="45424226"/>
            <a:ext cx="670891" cy="371475"/>
          </a:xfrm>
          <a:prstGeom prst="rect">
            <a:avLst/>
          </a:prstGeom>
          <a:noFill/>
        </xdr:spPr>
      </xdr:pic>
      <xdr:sp macro="" textlink="">
        <xdr:nvSpPr>
          <xdr:cNvPr id="634" name="Овал 633"/>
          <xdr:cNvSpPr/>
        </xdr:nvSpPr>
        <xdr:spPr>
          <a:xfrm>
            <a:off x="7495054" y="45919263"/>
            <a:ext cx="43447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sp macro="" textlink="">
        <xdr:nvSpPr>
          <xdr:cNvPr id="635" name="Овал 634"/>
          <xdr:cNvSpPr/>
        </xdr:nvSpPr>
        <xdr:spPr>
          <a:xfrm>
            <a:off x="8709160" y="45934625"/>
            <a:ext cx="45718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ru-RU" sz="1100"/>
          </a:p>
        </xdr:txBody>
      </xdr:sp>
      <xdr:cxnSp macro="">
        <xdr:nvCxnSpPr>
          <xdr:cNvPr id="636" name="Прямая со стрелкой 635"/>
          <xdr:cNvCxnSpPr/>
        </xdr:nvCxnSpPr>
        <xdr:spPr>
          <a:xfrm>
            <a:off x="7246436" y="46013840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637" name="Picture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9060400" y="45838356"/>
            <a:ext cx="190499" cy="219075"/>
          </a:xfrm>
          <a:prstGeom prst="rect">
            <a:avLst/>
          </a:prstGeom>
          <a:noFill/>
        </xdr:spPr>
      </xdr:pic>
      <xdr:cxnSp macro="">
        <xdr:nvCxnSpPr>
          <xdr:cNvPr id="638" name="Прямая со стрелкой 637"/>
          <xdr:cNvCxnSpPr/>
        </xdr:nvCxnSpPr>
        <xdr:spPr>
          <a:xfrm>
            <a:off x="5876014" y="44087306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9" name="Прямая со стрелкой 638"/>
          <xdr:cNvCxnSpPr/>
        </xdr:nvCxnSpPr>
        <xdr:spPr>
          <a:xfrm>
            <a:off x="5876014" y="46023331"/>
            <a:ext cx="513521" cy="1588"/>
          </a:xfrm>
          <a:prstGeom prst="straightConnector1">
            <a:avLst/>
          </a:prstGeom>
          <a:ln>
            <a:tailEnd type="stealt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</xdr:colOff>
      <xdr:row>179</xdr:row>
      <xdr:rowOff>104775</xdr:rowOff>
    </xdr:from>
    <xdr:to>
      <xdr:col>2</xdr:col>
      <xdr:colOff>428625</xdr:colOff>
      <xdr:row>181</xdr:row>
      <xdr:rowOff>152400</xdr:rowOff>
    </xdr:to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57807225"/>
          <a:ext cx="1057275" cy="4286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597175</xdr:colOff>
      <xdr:row>187</xdr:row>
      <xdr:rowOff>180975</xdr:rowOff>
    </xdr:from>
    <xdr:to>
      <xdr:col>4</xdr:col>
      <xdr:colOff>202923</xdr:colOff>
      <xdr:row>189</xdr:row>
      <xdr:rowOff>28575</xdr:rowOff>
    </xdr:to>
    <xdr:pic>
      <xdr:nvPicPr>
        <xdr:cNvPr id="66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626414" y="36119214"/>
          <a:ext cx="342900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587650</xdr:colOff>
      <xdr:row>189</xdr:row>
      <xdr:rowOff>0</xdr:rowOff>
    </xdr:from>
    <xdr:to>
      <xdr:col>4</xdr:col>
      <xdr:colOff>202923</xdr:colOff>
      <xdr:row>190</xdr:row>
      <xdr:rowOff>38100</xdr:rowOff>
    </xdr:to>
    <xdr:pic>
      <xdr:nvPicPr>
        <xdr:cNvPr id="66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616889" y="36319239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587650</xdr:colOff>
      <xdr:row>190</xdr:row>
      <xdr:rowOff>0</xdr:rowOff>
    </xdr:from>
    <xdr:to>
      <xdr:col>4</xdr:col>
      <xdr:colOff>202923</xdr:colOff>
      <xdr:row>191</xdr:row>
      <xdr:rowOff>38100</xdr:rowOff>
    </xdr:to>
    <xdr:pic>
      <xdr:nvPicPr>
        <xdr:cNvPr id="6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616889" y="36509739"/>
          <a:ext cx="352425" cy="2286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457201</xdr:colOff>
      <xdr:row>190</xdr:row>
      <xdr:rowOff>5576</xdr:rowOff>
    </xdr:from>
    <xdr:to>
      <xdr:col>6</xdr:col>
      <xdr:colOff>95251</xdr:colOff>
      <xdr:row>191</xdr:row>
      <xdr:rowOff>38100</xdr:rowOff>
    </xdr:to>
    <xdr:pic>
      <xdr:nvPicPr>
        <xdr:cNvPr id="67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038601" y="59813051"/>
          <a:ext cx="381000" cy="22302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571500</xdr:colOff>
      <xdr:row>202</xdr:row>
      <xdr:rowOff>19050</xdr:rowOff>
    </xdr:from>
    <xdr:to>
      <xdr:col>2</xdr:col>
      <xdr:colOff>638175</xdr:colOff>
      <xdr:row>203</xdr:row>
      <xdr:rowOff>66675</xdr:rowOff>
    </xdr:to>
    <xdr:pic>
      <xdr:nvPicPr>
        <xdr:cNvPr id="67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0" y="61922025"/>
          <a:ext cx="1362075" cy="2381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2</xdr:col>
      <xdr:colOff>638175</xdr:colOff>
      <xdr:row>207</xdr:row>
      <xdr:rowOff>28575</xdr:rowOff>
    </xdr:to>
    <xdr:pic>
      <xdr:nvPicPr>
        <xdr:cNvPr id="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2664975"/>
          <a:ext cx="12858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2</xdr:col>
      <xdr:colOff>428625</xdr:colOff>
      <xdr:row>209</xdr:row>
      <xdr:rowOff>28575</xdr:rowOff>
    </xdr:to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045975"/>
          <a:ext cx="10763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209</xdr:row>
      <xdr:rowOff>85725</xdr:rowOff>
    </xdr:from>
    <xdr:to>
      <xdr:col>3</xdr:col>
      <xdr:colOff>723900</xdr:colOff>
      <xdr:row>211</xdr:row>
      <xdr:rowOff>133350</xdr:rowOff>
    </xdr:to>
    <xdr:pic>
      <xdr:nvPicPr>
        <xdr:cNvPr id="67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63322200"/>
          <a:ext cx="2019300" cy="42862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123866</xdr:colOff>
      <xdr:row>103</xdr:row>
      <xdr:rowOff>187939</xdr:rowOff>
    </xdr:from>
    <xdr:to>
      <xdr:col>6</xdr:col>
      <xdr:colOff>502117</xdr:colOff>
      <xdr:row>103</xdr:row>
      <xdr:rowOff>190499</xdr:rowOff>
    </xdr:to>
    <xdr:cxnSp macro="">
      <xdr:nvCxnSpPr>
        <xdr:cNvPr id="679" name="Прямая соединительная линия 678"/>
        <xdr:cNvCxnSpPr>
          <a:stCxn id="616" idx="1"/>
        </xdr:cNvCxnSpPr>
      </xdr:nvCxnSpPr>
      <xdr:spPr>
        <a:xfrm rot="10800000" flipV="1">
          <a:off x="4259721" y="20019992"/>
          <a:ext cx="378251" cy="25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106880</xdr:colOff>
      <xdr:row>103</xdr:row>
      <xdr:rowOff>186586</xdr:rowOff>
    </xdr:from>
    <xdr:to>
      <xdr:col>6</xdr:col>
      <xdr:colOff>108468</xdr:colOff>
      <xdr:row>112</xdr:row>
      <xdr:rowOff>37500</xdr:rowOff>
    </xdr:to>
    <xdr:cxnSp macro="">
      <xdr:nvCxnSpPr>
        <xdr:cNvPr id="680" name="Прямая соединительная линия 679"/>
        <xdr:cNvCxnSpPr/>
      </xdr:nvCxnSpPr>
      <xdr:spPr>
        <a:xfrm rot="5400000">
          <a:off x="3649317" y="44088174"/>
          <a:ext cx="156541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169229</xdr:colOff>
      <xdr:row>106</xdr:row>
      <xdr:rowOff>115956</xdr:rowOff>
    </xdr:from>
    <xdr:to>
      <xdr:col>5</xdr:col>
      <xdr:colOff>403854</xdr:colOff>
      <xdr:row>107</xdr:row>
      <xdr:rowOff>101876</xdr:rowOff>
    </xdr:to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50629" y="43807131"/>
          <a:ext cx="234625" cy="17642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704022</xdr:colOff>
      <xdr:row>102</xdr:row>
      <xdr:rowOff>98799</xdr:rowOff>
    </xdr:from>
    <xdr:to>
      <xdr:col>6</xdr:col>
      <xdr:colOff>183873</xdr:colOff>
      <xdr:row>103</xdr:row>
      <xdr:rowOff>85309</xdr:rowOff>
    </xdr:to>
    <xdr:pic>
      <xdr:nvPicPr>
        <xdr:cNvPr id="68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2" y="43027974"/>
          <a:ext cx="222801" cy="177010"/>
        </a:xfrm>
        <a:prstGeom prst="rect">
          <a:avLst/>
        </a:prstGeom>
        <a:noFill/>
      </xdr:spPr>
    </xdr:pic>
    <xdr:clientData/>
  </xdr:twoCellAnchor>
  <xdr:twoCellAnchor>
    <xdr:from>
      <xdr:col>5</xdr:col>
      <xdr:colOff>704021</xdr:colOff>
      <xdr:row>112</xdr:row>
      <xdr:rowOff>146327</xdr:rowOff>
    </xdr:from>
    <xdr:to>
      <xdr:col>6</xdr:col>
      <xdr:colOff>202923</xdr:colOff>
      <xdr:row>113</xdr:row>
      <xdr:rowOff>135007</xdr:rowOff>
    </xdr:to>
    <xdr:pic>
      <xdr:nvPicPr>
        <xdr:cNvPr id="68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85421" y="44980502"/>
          <a:ext cx="241852" cy="17918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118</xdr:row>
      <xdr:rowOff>149087</xdr:rowOff>
    </xdr:from>
    <xdr:to>
      <xdr:col>1</xdr:col>
      <xdr:colOff>483291</xdr:colOff>
      <xdr:row>120</xdr:row>
      <xdr:rowOff>53837</xdr:rowOff>
    </xdr:to>
    <xdr:pic>
      <xdr:nvPicPr>
        <xdr:cNvPr id="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135787"/>
          <a:ext cx="466725" cy="285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41413</xdr:colOff>
      <xdr:row>116</xdr:row>
      <xdr:rowOff>157370</xdr:rowOff>
    </xdr:from>
    <xdr:to>
      <xdr:col>2</xdr:col>
      <xdr:colOff>346213</xdr:colOff>
      <xdr:row>118</xdr:row>
      <xdr:rowOff>62120</xdr:rowOff>
    </xdr:to>
    <xdr:pic>
      <xdr:nvPicPr>
        <xdr:cNvPr id="68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6813" y="45763070"/>
          <a:ext cx="304800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135</xdr:row>
      <xdr:rowOff>0</xdr:rowOff>
    </xdr:from>
    <xdr:to>
      <xdr:col>1</xdr:col>
      <xdr:colOff>571500</xdr:colOff>
      <xdr:row>136</xdr:row>
      <xdr:rowOff>28575</xdr:rowOff>
    </xdr:to>
    <xdr:pic>
      <xdr:nvPicPr>
        <xdr:cNvPr id="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234725"/>
          <a:ext cx="5429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136</xdr:row>
      <xdr:rowOff>180975</xdr:rowOff>
    </xdr:from>
    <xdr:to>
      <xdr:col>2</xdr:col>
      <xdr:colOff>342900</xdr:colOff>
      <xdr:row>138</xdr:row>
      <xdr:rowOff>19050</xdr:rowOff>
    </xdr:to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49606200"/>
          <a:ext cx="9810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145</xdr:row>
      <xdr:rowOff>0</xdr:rowOff>
    </xdr:from>
    <xdr:to>
      <xdr:col>2</xdr:col>
      <xdr:colOff>457200</xdr:colOff>
      <xdr:row>146</xdr:row>
      <xdr:rowOff>28575</xdr:rowOff>
    </xdr:to>
    <xdr:pic>
      <xdr:nvPicPr>
        <xdr:cNvPr id="68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1139725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138</xdr:row>
      <xdr:rowOff>95250</xdr:rowOff>
    </xdr:from>
    <xdr:to>
      <xdr:col>2</xdr:col>
      <xdr:colOff>342900</xdr:colOff>
      <xdr:row>140</xdr:row>
      <xdr:rowOff>85725</xdr:rowOff>
    </xdr:to>
    <xdr:pic>
      <xdr:nvPicPr>
        <xdr:cNvPr id="69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49901475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140</xdr:row>
      <xdr:rowOff>85725</xdr:rowOff>
    </xdr:from>
    <xdr:to>
      <xdr:col>3</xdr:col>
      <xdr:colOff>571500</xdr:colOff>
      <xdr:row>142</xdr:row>
      <xdr:rowOff>123825</xdr:rowOff>
    </xdr:to>
    <xdr:pic>
      <xdr:nvPicPr>
        <xdr:cNvPr id="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0272950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16566</xdr:colOff>
      <xdr:row>120</xdr:row>
      <xdr:rowOff>157370</xdr:rowOff>
    </xdr:from>
    <xdr:to>
      <xdr:col>3</xdr:col>
      <xdr:colOff>673791</xdr:colOff>
      <xdr:row>122</xdr:row>
      <xdr:rowOff>62120</xdr:rowOff>
    </xdr:to>
    <xdr:pic>
      <xdr:nvPicPr>
        <xdr:cNvPr id="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6" y="46525070"/>
          <a:ext cx="1952625" cy="2857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161</xdr:row>
      <xdr:rowOff>0</xdr:rowOff>
    </xdr:from>
    <xdr:to>
      <xdr:col>2</xdr:col>
      <xdr:colOff>457200</xdr:colOff>
      <xdr:row>162</xdr:row>
      <xdr:rowOff>28575</xdr:rowOff>
    </xdr:to>
    <xdr:pic>
      <xdr:nvPicPr>
        <xdr:cNvPr id="69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54197250"/>
          <a:ext cx="105727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154</xdr:row>
      <xdr:rowOff>95250</xdr:rowOff>
    </xdr:from>
    <xdr:to>
      <xdr:col>2</xdr:col>
      <xdr:colOff>342900</xdr:colOff>
      <xdr:row>156</xdr:row>
      <xdr:rowOff>85725</xdr:rowOff>
    </xdr:to>
    <xdr:pic>
      <xdr:nvPicPr>
        <xdr:cNvPr id="69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52959000"/>
          <a:ext cx="96202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156</xdr:row>
      <xdr:rowOff>85725</xdr:rowOff>
    </xdr:from>
    <xdr:to>
      <xdr:col>3</xdr:col>
      <xdr:colOff>571500</xdr:colOff>
      <xdr:row>158</xdr:row>
      <xdr:rowOff>123825</xdr:rowOff>
    </xdr:to>
    <xdr:pic>
      <xdr:nvPicPr>
        <xdr:cNvPr id="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53330475"/>
          <a:ext cx="1857375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16565</xdr:colOff>
      <xdr:row>151</xdr:row>
      <xdr:rowOff>16565</xdr:rowOff>
    </xdr:from>
    <xdr:to>
      <xdr:col>3</xdr:col>
      <xdr:colOff>0</xdr:colOff>
      <xdr:row>152</xdr:row>
      <xdr:rowOff>35615</xdr:rowOff>
    </xdr:to>
    <xdr:pic>
      <xdr:nvPicPr>
        <xdr:cNvPr id="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4265" y="52308815"/>
          <a:ext cx="127883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646043</xdr:colOff>
      <xdr:row>153</xdr:row>
      <xdr:rowOff>0</xdr:rowOff>
    </xdr:from>
    <xdr:to>
      <xdr:col>3</xdr:col>
      <xdr:colOff>0</xdr:colOff>
      <xdr:row>154</xdr:row>
      <xdr:rowOff>38100</xdr:rowOff>
    </xdr:to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6043" y="52673250"/>
          <a:ext cx="1297057" cy="2286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0</xdr:row>
      <xdr:rowOff>161926</xdr:rowOff>
    </xdr:from>
    <xdr:to>
      <xdr:col>9</xdr:col>
      <xdr:colOff>285750</xdr:colOff>
      <xdr:row>19</xdr:row>
      <xdr:rowOff>28576</xdr:rowOff>
    </xdr:to>
    <xdr:sp macro="" textlink="">
      <xdr:nvSpPr>
        <xdr:cNvPr id="2" name="TextBox 1"/>
        <xdr:cNvSpPr txBox="1"/>
      </xdr:nvSpPr>
      <xdr:spPr>
        <a:xfrm>
          <a:off x="447674" y="161926"/>
          <a:ext cx="5667376" cy="3486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600" b="1">
              <a:solidFill>
                <a:schemeClr val="dk1"/>
              </a:solidFill>
              <a:latin typeface="+mn-lt"/>
              <a:ea typeface="+mn-ea"/>
              <a:cs typeface="+mn-cs"/>
            </a:rPr>
            <a:t>       Выбор электрических соединений РУ ПС и опор ЛЭП</a:t>
          </a:r>
        </a:p>
        <a:p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Схема должна обеспечивать надежное питание присоединенных потребителей в нормальном, ремонтном и послеаварийном режиме в соответствии с категориями нагрузки с учетом наличия или отсутствия независимых резервных источников питания.</a:t>
          </a: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Схема должна обеспечивать надежность транзита мощности через подстанцию в нормальном, ремонтном и послеаварийном режиме в соответствии с его значением для рассматриваемого участка сети.</a:t>
          </a: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Схема должна быть по возможности простой, наглядной, экономичной и обеспечивать средствами автоматики восстановление питания потребителей в послеаварийном режиме без   вмешательства персонала.</a:t>
          </a: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Схема должна допускать поэтапное развитие РУ с переходом от одного этапа к другому без значительных работ по реконструкции и перерывов в питании потребителей.</a:t>
          </a:r>
        </a:p>
        <a:p>
          <a:pPr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Число одновременно срабатывающих выключателей в пределах одного РУ должно быть не более двух при повреждении линии и не более четырех при повреждении трансформатора.</a:t>
          </a:r>
        </a:p>
        <a:p>
          <a:endParaRPr lang="ru-RU" sz="1100">
            <a:latin typeface="+mn-lt"/>
          </a:endParaRPr>
        </a:p>
      </xdr:txBody>
    </xdr:sp>
    <xdr:clientData/>
  </xdr:twoCellAnchor>
  <xdr:twoCellAnchor editAs="oneCell">
    <xdr:from>
      <xdr:col>0</xdr:col>
      <xdr:colOff>571499</xdr:colOff>
      <xdr:row>19</xdr:row>
      <xdr:rowOff>57150</xdr:rowOff>
    </xdr:from>
    <xdr:to>
      <xdr:col>9</xdr:col>
      <xdr:colOff>76200</xdr:colOff>
      <xdr:row>49</xdr:row>
      <xdr:rowOff>180975</xdr:rowOff>
    </xdr:to>
    <xdr:pic>
      <xdr:nvPicPr>
        <xdr:cNvPr id="3" name="Рисунок 2"/>
        <xdr:cNvPicPr/>
      </xdr:nvPicPr>
      <xdr:blipFill>
        <a:blip xmlns:r="http://schemas.openxmlformats.org/officeDocument/2006/relationships" r:embed="rId1"/>
        <a:srcRect l="20161" t="14032" r="32886" b="8226"/>
        <a:stretch>
          <a:fillRect/>
        </a:stretch>
      </xdr:blipFill>
      <xdr:spPr bwMode="auto">
        <a:xfrm>
          <a:off x="571499" y="3686175"/>
          <a:ext cx="5334001" cy="583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76200</xdr:rowOff>
    </xdr:from>
    <xdr:ext cx="6400800" cy="1532599"/>
    <xdr:sp macro="" textlink="">
      <xdr:nvSpPr>
        <xdr:cNvPr id="2" name="TextBox 1"/>
        <xdr:cNvSpPr txBox="1"/>
      </xdr:nvSpPr>
      <xdr:spPr>
        <a:xfrm>
          <a:off x="285750" y="76200"/>
          <a:ext cx="6400800" cy="1532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ru-RU" sz="1600" b="1">
              <a:solidFill>
                <a:schemeClr val="tx1"/>
              </a:solidFill>
              <a:latin typeface="+mn-lt"/>
              <a:ea typeface="+mn-ea"/>
              <a:cs typeface="+mn-cs"/>
            </a:rPr>
            <a:t>Произведем расчет и сравнение технико-экономических показателей   </a:t>
          </a:r>
        </a:p>
        <a:p>
          <a:r>
            <a:rPr lang="ru-RU" sz="1600" b="1">
              <a:solidFill>
                <a:schemeClr val="tx1"/>
              </a:solidFill>
              <a:latin typeface="+mn-lt"/>
              <a:ea typeface="+mn-ea"/>
              <a:cs typeface="+mn-cs"/>
            </a:rPr>
            <a:t>отличающихся участков схемм двух выбранных вариантов сетей.</a:t>
          </a:r>
        </a:p>
        <a:p>
          <a:endParaRPr lang="ru-RU" sz="16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latin typeface="+mn-lt"/>
              <a:ea typeface="+mn-ea"/>
              <a:cs typeface="+mn-cs"/>
            </a:rPr>
            <a:t>Экономическим критерием, по которому определяют наивыгоднейший вариант, является минимум дисконтированных затрат, руб/год, вычисленных по формуле:</a:t>
          </a:r>
        </a:p>
        <a:p>
          <a:endParaRPr lang="ru-RU" sz="1100"/>
        </a:p>
      </xdr:txBody>
    </xdr:sp>
    <xdr:clientData/>
  </xdr:oneCellAnchor>
  <xdr:twoCellAnchor>
    <xdr:from>
      <xdr:col>1</xdr:col>
      <xdr:colOff>38100</xdr:colOff>
      <xdr:row>26</xdr:row>
      <xdr:rowOff>0</xdr:rowOff>
    </xdr:from>
    <xdr:to>
      <xdr:col>3</xdr:col>
      <xdr:colOff>285750</xdr:colOff>
      <xdr:row>27</xdr:row>
      <xdr:rowOff>38100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85800" y="4810125"/>
          <a:ext cx="1543050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428625</xdr:colOff>
      <xdr:row>32</xdr:row>
      <xdr:rowOff>28575</xdr:rowOff>
    </xdr:from>
    <xdr:to>
      <xdr:col>2</xdr:col>
      <xdr:colOff>266700</xdr:colOff>
      <xdr:row>33</xdr:row>
      <xdr:rowOff>47625</xdr:rowOff>
    </xdr:to>
    <xdr:pic>
      <xdr:nvPicPr>
        <xdr:cNvPr id="61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76325" y="5981700"/>
          <a:ext cx="48577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49</xdr:row>
      <xdr:rowOff>28575</xdr:rowOff>
    </xdr:from>
    <xdr:to>
      <xdr:col>3</xdr:col>
      <xdr:colOff>123825</xdr:colOff>
      <xdr:row>50</xdr:row>
      <xdr:rowOff>57150</xdr:rowOff>
    </xdr:to>
    <xdr:pic>
      <xdr:nvPicPr>
        <xdr:cNvPr id="615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7124700"/>
          <a:ext cx="13906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600075</xdr:colOff>
      <xdr:row>45</xdr:row>
      <xdr:rowOff>28575</xdr:rowOff>
    </xdr:from>
    <xdr:to>
      <xdr:col>2</xdr:col>
      <xdr:colOff>342900</xdr:colOff>
      <xdr:row>46</xdr:row>
      <xdr:rowOff>47625</xdr:rowOff>
    </xdr:to>
    <xdr:pic>
      <xdr:nvPicPr>
        <xdr:cNvPr id="615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47775" y="7124700"/>
          <a:ext cx="3905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57150</xdr:colOff>
      <xdr:row>43</xdr:row>
      <xdr:rowOff>38100</xdr:rowOff>
    </xdr:from>
    <xdr:to>
      <xdr:col>2</xdr:col>
      <xdr:colOff>342900</xdr:colOff>
      <xdr:row>44</xdr:row>
      <xdr:rowOff>57150</xdr:rowOff>
    </xdr:to>
    <xdr:pic>
      <xdr:nvPicPr>
        <xdr:cNvPr id="616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04850" y="7134225"/>
          <a:ext cx="93345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304800</xdr:colOff>
      <xdr:row>51</xdr:row>
      <xdr:rowOff>133350</xdr:rowOff>
    </xdr:from>
    <xdr:to>
      <xdr:col>3</xdr:col>
      <xdr:colOff>66675</xdr:colOff>
      <xdr:row>53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52500" y="9906000"/>
          <a:ext cx="1057275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276225</xdr:colOff>
      <xdr:row>81</xdr:row>
      <xdr:rowOff>28575</xdr:rowOff>
    </xdr:from>
    <xdr:to>
      <xdr:col>1</xdr:col>
      <xdr:colOff>581025</xdr:colOff>
      <xdr:row>82</xdr:row>
      <xdr:rowOff>47625</xdr:rowOff>
    </xdr:to>
    <xdr:pic>
      <xdr:nvPicPr>
        <xdr:cNvPr id="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23925" y="13801725"/>
          <a:ext cx="3048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257175</xdr:colOff>
      <xdr:row>82</xdr:row>
      <xdr:rowOff>28575</xdr:rowOff>
    </xdr:from>
    <xdr:to>
      <xdr:col>1</xdr:col>
      <xdr:colOff>581025</xdr:colOff>
      <xdr:row>83</xdr:row>
      <xdr:rowOff>47625</xdr:rowOff>
    </xdr:to>
    <xdr:pic>
      <xdr:nvPicPr>
        <xdr:cNvPr id="615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04875" y="13992225"/>
          <a:ext cx="32385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266700</xdr:colOff>
      <xdr:row>79</xdr:row>
      <xdr:rowOff>47625</xdr:rowOff>
    </xdr:from>
    <xdr:to>
      <xdr:col>3</xdr:col>
      <xdr:colOff>200025</xdr:colOff>
      <xdr:row>80</xdr:row>
      <xdr:rowOff>66675</xdr:rowOff>
    </xdr:to>
    <xdr:pic>
      <xdr:nvPicPr>
        <xdr:cNvPr id="615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4400" y="13439775"/>
          <a:ext cx="12287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87</xdr:row>
      <xdr:rowOff>28575</xdr:rowOff>
    </xdr:from>
    <xdr:to>
      <xdr:col>3</xdr:col>
      <xdr:colOff>590550</xdr:colOff>
      <xdr:row>88</xdr:row>
      <xdr:rowOff>57150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16668750"/>
          <a:ext cx="18764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504825</xdr:colOff>
      <xdr:row>59</xdr:row>
      <xdr:rowOff>123825</xdr:rowOff>
    </xdr:from>
    <xdr:to>
      <xdr:col>3</xdr:col>
      <xdr:colOff>285750</xdr:colOff>
      <xdr:row>61</xdr:row>
      <xdr:rowOff>114300</xdr:rowOff>
    </xdr:to>
    <xdr:pic>
      <xdr:nvPicPr>
        <xdr:cNvPr id="615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52525" y="11430000"/>
          <a:ext cx="1076325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257175</xdr:colOff>
      <xdr:row>34</xdr:row>
      <xdr:rowOff>38100</xdr:rowOff>
    </xdr:from>
    <xdr:to>
      <xdr:col>2</xdr:col>
      <xdr:colOff>638175</xdr:colOff>
      <xdr:row>35</xdr:row>
      <xdr:rowOff>57150</xdr:rowOff>
    </xdr:to>
    <xdr:pic>
      <xdr:nvPicPr>
        <xdr:cNvPr id="6217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52575" y="6562725"/>
          <a:ext cx="381000" cy="209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133350</xdr:colOff>
      <xdr:row>35</xdr:row>
      <xdr:rowOff>28575</xdr:rowOff>
    </xdr:from>
    <xdr:to>
      <xdr:col>2</xdr:col>
      <xdr:colOff>638175</xdr:colOff>
      <xdr:row>36</xdr:row>
      <xdr:rowOff>47625</xdr:rowOff>
    </xdr:to>
    <xdr:pic>
      <xdr:nvPicPr>
        <xdr:cNvPr id="621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28750" y="6934200"/>
          <a:ext cx="5048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428625</xdr:colOff>
      <xdr:row>121</xdr:row>
      <xdr:rowOff>28575</xdr:rowOff>
    </xdr:from>
    <xdr:to>
      <xdr:col>2</xdr:col>
      <xdr:colOff>266700</xdr:colOff>
      <xdr:row>122</xdr:row>
      <xdr:rowOff>47625</xdr:rowOff>
    </xdr:to>
    <xdr:pic>
      <xdr:nvPicPr>
        <xdr:cNvPr id="4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76325" y="6172200"/>
          <a:ext cx="48577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</xdr:colOff>
      <xdr:row>135</xdr:row>
      <xdr:rowOff>28575</xdr:rowOff>
    </xdr:from>
    <xdr:to>
      <xdr:col>3</xdr:col>
      <xdr:colOff>123825</xdr:colOff>
      <xdr:row>136</xdr:row>
      <xdr:rowOff>57150</xdr:rowOff>
    </xdr:to>
    <xdr:pic>
      <xdr:nvPicPr>
        <xdr:cNvPr id="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76275" y="8839200"/>
          <a:ext cx="15716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600075</xdr:colOff>
      <xdr:row>131</xdr:row>
      <xdr:rowOff>28575</xdr:rowOff>
    </xdr:from>
    <xdr:to>
      <xdr:col>2</xdr:col>
      <xdr:colOff>342900</xdr:colOff>
      <xdr:row>132</xdr:row>
      <xdr:rowOff>47625</xdr:rowOff>
    </xdr:to>
    <xdr:pic>
      <xdr:nvPicPr>
        <xdr:cNvPr id="4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47775" y="8077200"/>
          <a:ext cx="3905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57150</xdr:colOff>
      <xdr:row>129</xdr:row>
      <xdr:rowOff>38100</xdr:rowOff>
    </xdr:from>
    <xdr:to>
      <xdr:col>2</xdr:col>
      <xdr:colOff>342900</xdr:colOff>
      <xdr:row>130</xdr:row>
      <xdr:rowOff>57150</xdr:rowOff>
    </xdr:to>
    <xdr:pic>
      <xdr:nvPicPr>
        <xdr:cNvPr id="44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04850" y="7705725"/>
          <a:ext cx="93345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304800</xdr:colOff>
      <xdr:row>140</xdr:row>
      <xdr:rowOff>133350</xdr:rowOff>
    </xdr:from>
    <xdr:to>
      <xdr:col>3</xdr:col>
      <xdr:colOff>66675</xdr:colOff>
      <xdr:row>142</xdr:row>
      <xdr:rowOff>123825</xdr:rowOff>
    </xdr:to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52500" y="9906000"/>
          <a:ext cx="1238250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276225</xdr:colOff>
      <xdr:row>173</xdr:row>
      <xdr:rowOff>28575</xdr:rowOff>
    </xdr:from>
    <xdr:to>
      <xdr:col>1</xdr:col>
      <xdr:colOff>581025</xdr:colOff>
      <xdr:row>174</xdr:row>
      <xdr:rowOff>47625</xdr:rowOff>
    </xdr:to>
    <xdr:pic>
      <xdr:nvPicPr>
        <xdr:cNvPr id="4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23925" y="15525750"/>
          <a:ext cx="3048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257175</xdr:colOff>
      <xdr:row>174</xdr:row>
      <xdr:rowOff>28575</xdr:rowOff>
    </xdr:from>
    <xdr:to>
      <xdr:col>1</xdr:col>
      <xdr:colOff>581025</xdr:colOff>
      <xdr:row>175</xdr:row>
      <xdr:rowOff>47625</xdr:rowOff>
    </xdr:to>
    <xdr:pic>
      <xdr:nvPicPr>
        <xdr:cNvPr id="4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04875" y="15716250"/>
          <a:ext cx="32385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266700</xdr:colOff>
      <xdr:row>171</xdr:row>
      <xdr:rowOff>47625</xdr:rowOff>
    </xdr:from>
    <xdr:to>
      <xdr:col>3</xdr:col>
      <xdr:colOff>200025</xdr:colOff>
      <xdr:row>172</xdr:row>
      <xdr:rowOff>66675</xdr:rowOff>
    </xdr:to>
    <xdr:pic>
      <xdr:nvPicPr>
        <xdr:cNvPr id="4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4400" y="15163800"/>
          <a:ext cx="14097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</xdr:colOff>
      <xdr:row>179</xdr:row>
      <xdr:rowOff>28575</xdr:rowOff>
    </xdr:from>
    <xdr:to>
      <xdr:col>3</xdr:col>
      <xdr:colOff>590550</xdr:colOff>
      <xdr:row>180</xdr:row>
      <xdr:rowOff>57150</xdr:rowOff>
    </xdr:to>
    <xdr:pic>
      <xdr:nvPicPr>
        <xdr:cNvPr id="5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57225" y="16668750"/>
          <a:ext cx="205740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504825</xdr:colOff>
      <xdr:row>151</xdr:row>
      <xdr:rowOff>123825</xdr:rowOff>
    </xdr:from>
    <xdr:to>
      <xdr:col>3</xdr:col>
      <xdr:colOff>285750</xdr:colOff>
      <xdr:row>153</xdr:row>
      <xdr:rowOff>114300</xdr:rowOff>
    </xdr:to>
    <xdr:pic>
      <xdr:nvPicPr>
        <xdr:cNvPr id="5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52525" y="11430000"/>
          <a:ext cx="1257300" cy="3714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161925</xdr:colOff>
      <xdr:row>123</xdr:row>
      <xdr:rowOff>38100</xdr:rowOff>
    </xdr:from>
    <xdr:to>
      <xdr:col>2</xdr:col>
      <xdr:colOff>542925</xdr:colOff>
      <xdr:row>124</xdr:row>
      <xdr:rowOff>57150</xdr:rowOff>
    </xdr:to>
    <xdr:pic>
      <xdr:nvPicPr>
        <xdr:cNvPr id="52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57325" y="6562725"/>
          <a:ext cx="381000" cy="209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125</xdr:row>
      <xdr:rowOff>38100</xdr:rowOff>
    </xdr:from>
    <xdr:to>
      <xdr:col>2</xdr:col>
      <xdr:colOff>533400</xdr:colOff>
      <xdr:row>126</xdr:row>
      <xdr:rowOff>57150</xdr:rowOff>
    </xdr:to>
    <xdr:pic>
      <xdr:nvPicPr>
        <xdr:cNvPr id="53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23975" y="6943725"/>
          <a:ext cx="5048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115</xdr:row>
      <xdr:rowOff>0</xdr:rowOff>
    </xdr:from>
    <xdr:to>
      <xdr:col>3</xdr:col>
      <xdr:colOff>466725</xdr:colOff>
      <xdr:row>116</xdr:row>
      <xdr:rowOff>38100</xdr:rowOff>
    </xdr:to>
    <xdr:pic>
      <xdr:nvPicPr>
        <xdr:cNvPr id="6223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22021800"/>
          <a:ext cx="1924050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66675</xdr:colOff>
      <xdr:row>127</xdr:row>
      <xdr:rowOff>19050</xdr:rowOff>
    </xdr:from>
    <xdr:to>
      <xdr:col>6</xdr:col>
      <xdr:colOff>390525</xdr:colOff>
      <xdr:row>128</xdr:row>
      <xdr:rowOff>57150</xdr:rowOff>
    </xdr:to>
    <xdr:pic>
      <xdr:nvPicPr>
        <xdr:cNvPr id="6224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14375" y="24326850"/>
          <a:ext cx="3848100" cy="228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790575</xdr:colOff>
      <xdr:row>194</xdr:row>
      <xdr:rowOff>104775</xdr:rowOff>
    </xdr:from>
    <xdr:to>
      <xdr:col>5</xdr:col>
      <xdr:colOff>123825</xdr:colOff>
      <xdr:row>196</xdr:row>
      <xdr:rowOff>152400</xdr:rowOff>
    </xdr:to>
    <xdr:pic>
      <xdr:nvPicPr>
        <xdr:cNvPr id="6222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085975" y="37242750"/>
          <a:ext cx="1581150" cy="428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142875</xdr:colOff>
      <xdr:row>30</xdr:row>
      <xdr:rowOff>38100</xdr:rowOff>
    </xdr:from>
    <xdr:to>
      <xdr:col>4</xdr:col>
      <xdr:colOff>85725</xdr:colOff>
      <xdr:row>31</xdr:row>
      <xdr:rowOff>76200</xdr:rowOff>
    </xdr:to>
    <xdr:pic>
      <xdr:nvPicPr>
        <xdr:cNvPr id="4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90575" y="5800725"/>
          <a:ext cx="2171700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161925</xdr:colOff>
      <xdr:row>119</xdr:row>
      <xdr:rowOff>38100</xdr:rowOff>
    </xdr:from>
    <xdr:to>
      <xdr:col>4</xdr:col>
      <xdr:colOff>104775</xdr:colOff>
      <xdr:row>120</xdr:row>
      <xdr:rowOff>76200</xdr:rowOff>
    </xdr:to>
    <xdr:pic>
      <xdr:nvPicPr>
        <xdr:cNvPr id="5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09625" y="22821900"/>
          <a:ext cx="2171700" cy="2286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</xdr:colOff>
      <xdr:row>41</xdr:row>
      <xdr:rowOff>28575</xdr:rowOff>
    </xdr:from>
    <xdr:to>
      <xdr:col>8</xdr:col>
      <xdr:colOff>200025</xdr:colOff>
      <xdr:row>42</xdr:row>
      <xdr:rowOff>66675</xdr:rowOff>
    </xdr:to>
    <xdr:pic>
      <xdr:nvPicPr>
        <xdr:cNvPr id="8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525" y="7886700"/>
          <a:ext cx="5667375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381000</xdr:colOff>
      <xdr:row>36</xdr:row>
      <xdr:rowOff>38100</xdr:rowOff>
    </xdr:from>
    <xdr:to>
      <xdr:col>2</xdr:col>
      <xdr:colOff>638175</xdr:colOff>
      <xdr:row>37</xdr:row>
      <xdr:rowOff>57150</xdr:rowOff>
    </xdr:to>
    <xdr:pic>
      <xdr:nvPicPr>
        <xdr:cNvPr id="9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19175" y="6943725"/>
          <a:ext cx="895350" cy="20955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200023</xdr:colOff>
      <xdr:row>0</xdr:row>
      <xdr:rowOff>95250</xdr:rowOff>
    </xdr:from>
    <xdr:to>
      <xdr:col>14</xdr:col>
      <xdr:colOff>114300</xdr:colOff>
      <xdr:row>49</xdr:row>
      <xdr:rowOff>66675</xdr:rowOff>
    </xdr:to>
    <xdr:sp macro="" textlink="">
      <xdr:nvSpPr>
        <xdr:cNvPr id="2" name="TextBox 1"/>
        <xdr:cNvSpPr txBox="1"/>
      </xdr:nvSpPr>
      <xdr:spPr>
        <a:xfrm>
          <a:off x="200023" y="95250"/>
          <a:ext cx="6438902" cy="9305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600" b="1">
              <a:solidFill>
                <a:schemeClr val="dk1"/>
              </a:solidFill>
              <a:latin typeface="+mn-lt"/>
              <a:ea typeface="+mn-ea"/>
              <a:cs typeface="+mn-cs"/>
            </a:rPr>
            <a:t>Расчёт установившихся режимов на ПК</a:t>
          </a:r>
        </a:p>
        <a:p>
          <a:pPr algn="just"/>
          <a:endParaRPr lang="ru-RU" sz="16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Расчеты установившихся  режимов электрических сетей выполняем для определения:</a:t>
          </a:r>
        </a:p>
        <a:p>
          <a:pPr algn="just"/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-загрузки элементов сети, соответствия пропускной способности сети ожидаемым потокам мощности;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-сечений проводов и кабелей и мощностей трансформаторов и автотрансформаторов;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-уровня напряжений в узлах и элементах сети и мероприятий, обеспечивающих  поддержание напряжения   в допустимых пределах; 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-потерь мощности и энергии для оценки экономичности   работы сети и эффективности  способов снижения потерь.</a:t>
          </a:r>
        </a:p>
        <a:p>
          <a:pPr algn="just"/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Режимы максимальных и минимальных нагрузок используем для выявления наибольших значений   расчетных длительных потоков мощности. 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Для выявления максимальных значений нерегулярных  потоков мощности  рассматриваем послеаварийные режимы.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Согласно ГОСТ 13109-97 в процессе эксплуатации необходимо обеспечивать качество электрической энергии, т.е. поддерживать напряжение на шинах всех электроприемников в допустимых пределах. Выполнение этого условия будем обеспечивать с помощью устройств регулирования напряжения. 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По правилам устройства электроустановок необходимо поддерживать напряжение на шинах   подстанций с Uн=6-20 кВ в пределах не ниже 105% номинального в период наибольших нагрузок (режим максимальных нагрузок и все послеаварийные режимы) и  100%  от номинального в период наименьших нагрузок этих сетей.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Таким образом, стремимся обеспечить уровень напряжения: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 в режиме максимальных нагрузок и послеаварийных режимах –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U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жел=</a:t>
          </a:r>
          <a:r>
            <a:rPr lang="ru-RU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·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U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н ;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 в режиме минимальных нагрузок -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U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жел=</a:t>
          </a:r>
          <a:r>
            <a:rPr lang="ru-RU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·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U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н;  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При проведении моделирования установившихся режимов электрической сети района нагрузок были рассчитаны режимы максимальных, минимальных нагрузок, а также послеаварийные режимы. 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Были рассмотрены четыре наиболее вероятных послеаварийных режима: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-отключение одной цепи линии А-1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.                                     </a:t>
          </a:r>
          <a:r>
            <a:rPr lang="ru-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ПА1</a:t>
          </a: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 отключение одного автотрансформатора на ПС-1;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ru-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ПА2</a:t>
          </a:r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-отключение линии 1-4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           </a:t>
          </a:r>
          <a:r>
            <a:rPr lang="ru-RU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ru-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ПА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-отключение одного трансформатора на ПС-2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  <a:r>
            <a:rPr lang="ru-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ПА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Существуют следующие способы регулирования напряжения :</a:t>
          </a:r>
        </a:p>
        <a:p>
          <a:pPr lvl="0"/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ru-RU" sz="10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с помощью генераторов   электрических станций;</a:t>
          </a:r>
        </a:p>
        <a:p>
          <a:pPr lvl="0"/>
          <a:r>
            <a:rPr lang="ru-RU" sz="10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изменение коэффициентов трансформации силовых трансформаторов, АТ на ПС;</a:t>
          </a:r>
        </a:p>
        <a:p>
          <a:pPr lvl="0"/>
          <a:r>
            <a:rPr lang="ru-RU" sz="1000">
              <a:solidFill>
                <a:schemeClr val="dk1"/>
              </a:solidFill>
              <a:latin typeface="+mn-lt"/>
              <a:ea typeface="+mn-ea"/>
              <a:cs typeface="+mn-cs"/>
            </a:rPr>
            <a:t>3 </a:t>
          </a:r>
          <a:r>
            <a:rPr lang="ru-RU" sz="9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изменение перетоков реактивной мощности с помощью компенсирующих устройств;</a:t>
          </a:r>
        </a:p>
        <a:p>
          <a:pPr lvl="0"/>
          <a:r>
            <a:rPr lang="ru-RU" sz="10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с помощью специальных трансформаторов;</a:t>
          </a:r>
        </a:p>
        <a:p>
          <a:pPr lvl="0"/>
          <a:r>
            <a:rPr lang="ru-RU" sz="100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  с помощью изменения параметров сети.</a:t>
          </a:r>
        </a:p>
        <a:p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В данном случае используем  2, 3 и 4 способ, а именно линейный регулятор.</a:t>
          </a:r>
        </a:p>
        <a:p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Выбираем линейный регулятор, установленный последовательно с обмоткой низшего напряжения автотрансформатора.</a:t>
          </a:r>
        </a:p>
        <a:p>
          <a:pPr algn="just"/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endParaRPr lang="ru-RU" sz="1100"/>
        </a:p>
      </xdr:txBody>
    </xdr:sp>
    <xdr:clientData/>
  </xdr:twoCellAnchor>
  <xdr:twoCellAnchor>
    <xdr:from>
      <xdr:col>13</xdr:col>
      <xdr:colOff>0</xdr:colOff>
      <xdr:row>56</xdr:row>
      <xdr:rowOff>114300</xdr:rowOff>
    </xdr:from>
    <xdr:to>
      <xdr:col>14</xdr:col>
      <xdr:colOff>57150</xdr:colOff>
      <xdr:row>57</xdr:row>
      <xdr:rowOff>114300</xdr:rowOff>
    </xdr:to>
    <xdr:pic>
      <xdr:nvPicPr>
        <xdr:cNvPr id="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67450" y="1066800"/>
          <a:ext cx="381000" cy="1905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56</xdr:row>
      <xdr:rowOff>114300</xdr:rowOff>
    </xdr:from>
    <xdr:to>
      <xdr:col>11</xdr:col>
      <xdr:colOff>28575</xdr:colOff>
      <xdr:row>57</xdr:row>
      <xdr:rowOff>114300</xdr:rowOff>
    </xdr:to>
    <xdr:pic>
      <xdr:nvPicPr>
        <xdr:cNvPr id="1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181600" y="1066800"/>
          <a:ext cx="390525" cy="1905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857249</xdr:colOff>
      <xdr:row>52</xdr:row>
      <xdr:rowOff>142875</xdr:rowOff>
    </xdr:from>
    <xdr:to>
      <xdr:col>11</xdr:col>
      <xdr:colOff>219074</xdr:colOff>
      <xdr:row>54</xdr:row>
      <xdr:rowOff>76200</xdr:rowOff>
    </xdr:to>
    <xdr:sp macro="" textlink="">
      <xdr:nvSpPr>
        <xdr:cNvPr id="18" name="TextBox 17"/>
        <xdr:cNvSpPr txBox="1"/>
      </xdr:nvSpPr>
      <xdr:spPr>
        <a:xfrm>
          <a:off x="1704974" y="333375"/>
          <a:ext cx="40576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сводная таблица  параметров  выбранных трансформаторов</a:t>
          </a:r>
        </a:p>
        <a:p>
          <a:endParaRPr lang="ru-RU" sz="1100"/>
        </a:p>
      </xdr:txBody>
    </xdr:sp>
    <xdr:clientData/>
  </xdr:twoCellAnchor>
  <xdr:twoCellAnchor>
    <xdr:from>
      <xdr:col>7</xdr:col>
      <xdr:colOff>76200</xdr:colOff>
      <xdr:row>57</xdr:row>
      <xdr:rowOff>0</xdr:rowOff>
    </xdr:from>
    <xdr:to>
      <xdr:col>7</xdr:col>
      <xdr:colOff>315058</xdr:colOff>
      <xdr:row>58</xdr:row>
      <xdr:rowOff>0</xdr:rowOff>
    </xdr:to>
    <xdr:pic>
      <xdr:nvPicPr>
        <xdr:cNvPr id="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114800" y="1143000"/>
          <a:ext cx="238858" cy="200025"/>
        </a:xfrm>
        <a:prstGeom prst="rect">
          <a:avLst/>
        </a:prstGeom>
        <a:noFill/>
      </xdr:spPr>
    </xdr:pic>
    <xdr:clientData/>
  </xdr:twoCellAnchor>
  <xdr:twoCellAnchor>
    <xdr:from>
      <xdr:col>8</xdr:col>
      <xdr:colOff>21980</xdr:colOff>
      <xdr:row>56</xdr:row>
      <xdr:rowOff>189427</xdr:rowOff>
    </xdr:from>
    <xdr:to>
      <xdr:col>8</xdr:col>
      <xdr:colOff>317256</xdr:colOff>
      <xdr:row>58</xdr:row>
      <xdr:rowOff>5669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451105" y="1141927"/>
          <a:ext cx="295276" cy="206767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19051</xdr:colOff>
      <xdr:row>56</xdr:row>
      <xdr:rowOff>142875</xdr:rowOff>
    </xdr:from>
    <xdr:to>
      <xdr:col>3</xdr:col>
      <xdr:colOff>47625</xdr:colOff>
      <xdr:row>58</xdr:row>
      <xdr:rowOff>114300</xdr:rowOff>
    </xdr:to>
    <xdr:sp macro="" textlink="">
      <xdr:nvSpPr>
        <xdr:cNvPr id="21" name="TextBox 20"/>
        <xdr:cNvSpPr txBox="1"/>
      </xdr:nvSpPr>
      <xdr:spPr>
        <a:xfrm>
          <a:off x="866776" y="1095375"/>
          <a:ext cx="1438274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100"/>
            <a:t>тип тр-ра</a:t>
          </a:r>
        </a:p>
      </xdr:txBody>
    </xdr:sp>
    <xdr:clientData/>
  </xdr:twoCellAnchor>
  <xdr:twoCellAnchor>
    <xdr:from>
      <xdr:col>3</xdr:col>
      <xdr:colOff>485774</xdr:colOff>
      <xdr:row>55</xdr:row>
      <xdr:rowOff>180975</xdr:rowOff>
    </xdr:from>
    <xdr:to>
      <xdr:col>7</xdr:col>
      <xdr:colOff>76200</xdr:colOff>
      <xdr:row>58</xdr:row>
      <xdr:rowOff>19050</xdr:rowOff>
    </xdr:to>
    <xdr:sp macro="" textlink="">
      <xdr:nvSpPr>
        <xdr:cNvPr id="22" name="TextBox 21"/>
        <xdr:cNvSpPr txBox="1"/>
      </xdr:nvSpPr>
      <xdr:spPr>
        <a:xfrm>
          <a:off x="2743199" y="942975"/>
          <a:ext cx="1371601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номинальное напря-</a:t>
          </a:r>
        </a:p>
        <a:p>
          <a:pPr algn="ctr"/>
          <a:r>
            <a:rPr lang="ru-RU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жение</a:t>
          </a:r>
          <a:r>
            <a:rPr lang="ru-RU" sz="1000"/>
            <a:t> </a:t>
          </a:r>
          <a:r>
            <a:rPr lang="ru-RU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обмоток, кВ</a:t>
          </a:r>
          <a:r>
            <a:rPr lang="ru-RU" sz="1000"/>
            <a:t> </a:t>
          </a:r>
        </a:p>
      </xdr:txBody>
    </xdr:sp>
    <xdr:clientData/>
  </xdr:twoCellAnchor>
  <xdr:twoCellAnchor>
    <xdr:from>
      <xdr:col>5</xdr:col>
      <xdr:colOff>190500</xdr:colOff>
      <xdr:row>61</xdr:row>
      <xdr:rowOff>183930</xdr:rowOff>
    </xdr:from>
    <xdr:to>
      <xdr:col>5</xdr:col>
      <xdr:colOff>301909</xdr:colOff>
      <xdr:row>62</xdr:row>
      <xdr:rowOff>39149</xdr:rowOff>
    </xdr:to>
    <xdr:sp macro="" textlink="">
      <xdr:nvSpPr>
        <xdr:cNvPr id="23" name="TextBox 22"/>
        <xdr:cNvSpPr txBox="1"/>
      </xdr:nvSpPr>
      <xdr:spPr>
        <a:xfrm flipV="1">
          <a:off x="3419475" y="2098455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5</xdr:col>
      <xdr:colOff>190500</xdr:colOff>
      <xdr:row>62</xdr:row>
      <xdr:rowOff>177361</xdr:rowOff>
    </xdr:from>
    <xdr:to>
      <xdr:col>5</xdr:col>
      <xdr:colOff>301909</xdr:colOff>
      <xdr:row>63</xdr:row>
      <xdr:rowOff>32580</xdr:rowOff>
    </xdr:to>
    <xdr:sp macro="" textlink="">
      <xdr:nvSpPr>
        <xdr:cNvPr id="24" name="TextBox 23"/>
        <xdr:cNvSpPr txBox="1"/>
      </xdr:nvSpPr>
      <xdr:spPr>
        <a:xfrm flipV="1">
          <a:off x="3419475" y="22823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5</xdr:col>
      <xdr:colOff>190500</xdr:colOff>
      <xdr:row>63</xdr:row>
      <xdr:rowOff>177361</xdr:rowOff>
    </xdr:from>
    <xdr:to>
      <xdr:col>5</xdr:col>
      <xdr:colOff>301909</xdr:colOff>
      <xdr:row>64</xdr:row>
      <xdr:rowOff>32580</xdr:rowOff>
    </xdr:to>
    <xdr:sp macro="" textlink="">
      <xdr:nvSpPr>
        <xdr:cNvPr id="25" name="TextBox 24"/>
        <xdr:cNvSpPr txBox="1"/>
      </xdr:nvSpPr>
      <xdr:spPr>
        <a:xfrm flipV="1">
          <a:off x="3419475" y="24728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151087</xdr:colOff>
      <xdr:row>61</xdr:row>
      <xdr:rowOff>183930</xdr:rowOff>
    </xdr:from>
    <xdr:to>
      <xdr:col>10</xdr:col>
      <xdr:colOff>262496</xdr:colOff>
      <xdr:row>62</xdr:row>
      <xdr:rowOff>39149</xdr:rowOff>
    </xdr:to>
    <xdr:sp macro="" textlink="">
      <xdr:nvSpPr>
        <xdr:cNvPr id="26" name="TextBox 25"/>
        <xdr:cNvSpPr txBox="1"/>
      </xdr:nvSpPr>
      <xdr:spPr>
        <a:xfrm flipV="1">
          <a:off x="5323162" y="2098455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151087</xdr:colOff>
      <xdr:row>62</xdr:row>
      <xdr:rowOff>177361</xdr:rowOff>
    </xdr:from>
    <xdr:to>
      <xdr:col>10</xdr:col>
      <xdr:colOff>262496</xdr:colOff>
      <xdr:row>63</xdr:row>
      <xdr:rowOff>32580</xdr:rowOff>
    </xdr:to>
    <xdr:sp macro="" textlink="">
      <xdr:nvSpPr>
        <xdr:cNvPr id="27" name="TextBox 26"/>
        <xdr:cNvSpPr txBox="1"/>
      </xdr:nvSpPr>
      <xdr:spPr>
        <a:xfrm flipV="1">
          <a:off x="5323162" y="22823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151087</xdr:colOff>
      <xdr:row>63</xdr:row>
      <xdr:rowOff>177361</xdr:rowOff>
    </xdr:from>
    <xdr:to>
      <xdr:col>10</xdr:col>
      <xdr:colOff>262496</xdr:colOff>
      <xdr:row>64</xdr:row>
      <xdr:rowOff>32580</xdr:rowOff>
    </xdr:to>
    <xdr:sp macro="" textlink="">
      <xdr:nvSpPr>
        <xdr:cNvPr id="28" name="TextBox 27"/>
        <xdr:cNvSpPr txBox="1"/>
      </xdr:nvSpPr>
      <xdr:spPr>
        <a:xfrm flipV="1">
          <a:off x="5323162" y="24728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131380</xdr:colOff>
      <xdr:row>61</xdr:row>
      <xdr:rowOff>183930</xdr:rowOff>
    </xdr:from>
    <xdr:to>
      <xdr:col>11</xdr:col>
      <xdr:colOff>242789</xdr:colOff>
      <xdr:row>62</xdr:row>
      <xdr:rowOff>39149</xdr:rowOff>
    </xdr:to>
    <xdr:sp macro="" textlink="">
      <xdr:nvSpPr>
        <xdr:cNvPr id="29" name="TextBox 28"/>
        <xdr:cNvSpPr txBox="1"/>
      </xdr:nvSpPr>
      <xdr:spPr>
        <a:xfrm flipV="1">
          <a:off x="5674930" y="2098455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131380</xdr:colOff>
      <xdr:row>62</xdr:row>
      <xdr:rowOff>177361</xdr:rowOff>
    </xdr:from>
    <xdr:to>
      <xdr:col>11</xdr:col>
      <xdr:colOff>242789</xdr:colOff>
      <xdr:row>63</xdr:row>
      <xdr:rowOff>32580</xdr:rowOff>
    </xdr:to>
    <xdr:sp macro="" textlink="">
      <xdr:nvSpPr>
        <xdr:cNvPr id="30" name="TextBox 29"/>
        <xdr:cNvSpPr txBox="1"/>
      </xdr:nvSpPr>
      <xdr:spPr>
        <a:xfrm flipV="1">
          <a:off x="5674930" y="22823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131380</xdr:colOff>
      <xdr:row>63</xdr:row>
      <xdr:rowOff>177361</xdr:rowOff>
    </xdr:from>
    <xdr:to>
      <xdr:col>11</xdr:col>
      <xdr:colOff>242789</xdr:colOff>
      <xdr:row>64</xdr:row>
      <xdr:rowOff>32580</xdr:rowOff>
    </xdr:to>
    <xdr:sp macro="" textlink="">
      <xdr:nvSpPr>
        <xdr:cNvPr id="31" name="TextBox 30"/>
        <xdr:cNvSpPr txBox="1"/>
      </xdr:nvSpPr>
      <xdr:spPr>
        <a:xfrm flipV="1">
          <a:off x="5674930" y="24728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128238</xdr:colOff>
      <xdr:row>61</xdr:row>
      <xdr:rowOff>183930</xdr:rowOff>
    </xdr:from>
    <xdr:to>
      <xdr:col>13</xdr:col>
      <xdr:colOff>239647</xdr:colOff>
      <xdr:row>62</xdr:row>
      <xdr:rowOff>39149</xdr:rowOff>
    </xdr:to>
    <xdr:sp macro="" textlink="">
      <xdr:nvSpPr>
        <xdr:cNvPr id="32" name="TextBox 31"/>
        <xdr:cNvSpPr txBox="1"/>
      </xdr:nvSpPr>
      <xdr:spPr>
        <a:xfrm flipV="1">
          <a:off x="6395688" y="2098455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128238</xdr:colOff>
      <xdr:row>62</xdr:row>
      <xdr:rowOff>177361</xdr:rowOff>
    </xdr:from>
    <xdr:to>
      <xdr:col>13</xdr:col>
      <xdr:colOff>239647</xdr:colOff>
      <xdr:row>63</xdr:row>
      <xdr:rowOff>32580</xdr:rowOff>
    </xdr:to>
    <xdr:sp macro="" textlink="">
      <xdr:nvSpPr>
        <xdr:cNvPr id="33" name="TextBox 32"/>
        <xdr:cNvSpPr txBox="1"/>
      </xdr:nvSpPr>
      <xdr:spPr>
        <a:xfrm flipV="1">
          <a:off x="6395688" y="22823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128238</xdr:colOff>
      <xdr:row>63</xdr:row>
      <xdr:rowOff>177361</xdr:rowOff>
    </xdr:from>
    <xdr:to>
      <xdr:col>13</xdr:col>
      <xdr:colOff>239647</xdr:colOff>
      <xdr:row>64</xdr:row>
      <xdr:rowOff>32580</xdr:rowOff>
    </xdr:to>
    <xdr:sp macro="" textlink="">
      <xdr:nvSpPr>
        <xdr:cNvPr id="34" name="TextBox 33"/>
        <xdr:cNvSpPr txBox="1"/>
      </xdr:nvSpPr>
      <xdr:spPr>
        <a:xfrm flipV="1">
          <a:off x="6395688" y="24728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14</xdr:col>
      <xdr:colOff>131380</xdr:colOff>
      <xdr:row>61</xdr:row>
      <xdr:rowOff>183930</xdr:rowOff>
    </xdr:from>
    <xdr:to>
      <xdr:col>14</xdr:col>
      <xdr:colOff>242789</xdr:colOff>
      <xdr:row>62</xdr:row>
      <xdr:rowOff>39149</xdr:rowOff>
    </xdr:to>
    <xdr:sp macro="" textlink="">
      <xdr:nvSpPr>
        <xdr:cNvPr id="35" name="TextBox 34"/>
        <xdr:cNvSpPr txBox="1"/>
      </xdr:nvSpPr>
      <xdr:spPr>
        <a:xfrm flipV="1">
          <a:off x="6722680" y="2098455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14</xdr:col>
      <xdr:colOff>131380</xdr:colOff>
      <xdr:row>62</xdr:row>
      <xdr:rowOff>177361</xdr:rowOff>
    </xdr:from>
    <xdr:to>
      <xdr:col>14</xdr:col>
      <xdr:colOff>242789</xdr:colOff>
      <xdr:row>63</xdr:row>
      <xdr:rowOff>32580</xdr:rowOff>
    </xdr:to>
    <xdr:sp macro="" textlink="">
      <xdr:nvSpPr>
        <xdr:cNvPr id="36" name="TextBox 35"/>
        <xdr:cNvSpPr txBox="1"/>
      </xdr:nvSpPr>
      <xdr:spPr>
        <a:xfrm flipV="1">
          <a:off x="6722680" y="22823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14</xdr:col>
      <xdr:colOff>131380</xdr:colOff>
      <xdr:row>63</xdr:row>
      <xdr:rowOff>177361</xdr:rowOff>
    </xdr:from>
    <xdr:to>
      <xdr:col>14</xdr:col>
      <xdr:colOff>242789</xdr:colOff>
      <xdr:row>64</xdr:row>
      <xdr:rowOff>32580</xdr:rowOff>
    </xdr:to>
    <xdr:sp macro="" textlink="">
      <xdr:nvSpPr>
        <xdr:cNvPr id="37" name="TextBox 36"/>
        <xdr:cNvSpPr txBox="1"/>
      </xdr:nvSpPr>
      <xdr:spPr>
        <a:xfrm flipV="1">
          <a:off x="6722680" y="2472886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5</xdr:col>
      <xdr:colOff>190500</xdr:colOff>
      <xdr:row>60</xdr:row>
      <xdr:rowOff>174405</xdr:rowOff>
    </xdr:from>
    <xdr:to>
      <xdr:col>5</xdr:col>
      <xdr:colOff>301909</xdr:colOff>
      <xdr:row>61</xdr:row>
      <xdr:rowOff>29624</xdr:rowOff>
    </xdr:to>
    <xdr:sp macro="" textlink="">
      <xdr:nvSpPr>
        <xdr:cNvPr id="38" name="TextBox 37"/>
        <xdr:cNvSpPr txBox="1"/>
      </xdr:nvSpPr>
      <xdr:spPr>
        <a:xfrm flipV="1">
          <a:off x="341947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8</xdr:col>
      <xdr:colOff>142875</xdr:colOff>
      <xdr:row>60</xdr:row>
      <xdr:rowOff>174405</xdr:rowOff>
    </xdr:from>
    <xdr:to>
      <xdr:col>8</xdr:col>
      <xdr:colOff>254284</xdr:colOff>
      <xdr:row>61</xdr:row>
      <xdr:rowOff>29624</xdr:rowOff>
    </xdr:to>
    <xdr:sp macro="" textlink="">
      <xdr:nvSpPr>
        <xdr:cNvPr id="39" name="TextBox 38"/>
        <xdr:cNvSpPr txBox="1"/>
      </xdr:nvSpPr>
      <xdr:spPr>
        <a:xfrm flipV="1">
          <a:off x="4572000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9</xdr:col>
      <xdr:colOff>152400</xdr:colOff>
      <xdr:row>60</xdr:row>
      <xdr:rowOff>174405</xdr:rowOff>
    </xdr:from>
    <xdr:to>
      <xdr:col>9</xdr:col>
      <xdr:colOff>263809</xdr:colOff>
      <xdr:row>61</xdr:row>
      <xdr:rowOff>29624</xdr:rowOff>
    </xdr:to>
    <xdr:sp macro="" textlink="">
      <xdr:nvSpPr>
        <xdr:cNvPr id="40" name="TextBox 39"/>
        <xdr:cNvSpPr txBox="1"/>
      </xdr:nvSpPr>
      <xdr:spPr>
        <a:xfrm flipV="1">
          <a:off x="4953000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10</xdr:col>
      <xdr:colOff>161925</xdr:colOff>
      <xdr:row>60</xdr:row>
      <xdr:rowOff>174405</xdr:rowOff>
    </xdr:from>
    <xdr:to>
      <xdr:col>10</xdr:col>
      <xdr:colOff>273334</xdr:colOff>
      <xdr:row>61</xdr:row>
      <xdr:rowOff>29624</xdr:rowOff>
    </xdr:to>
    <xdr:sp macro="" textlink="">
      <xdr:nvSpPr>
        <xdr:cNvPr id="41" name="TextBox 40"/>
        <xdr:cNvSpPr txBox="1"/>
      </xdr:nvSpPr>
      <xdr:spPr>
        <a:xfrm flipV="1">
          <a:off x="5334000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11</xdr:col>
      <xdr:colOff>142875</xdr:colOff>
      <xdr:row>60</xdr:row>
      <xdr:rowOff>174405</xdr:rowOff>
    </xdr:from>
    <xdr:to>
      <xdr:col>11</xdr:col>
      <xdr:colOff>254284</xdr:colOff>
      <xdr:row>61</xdr:row>
      <xdr:rowOff>29624</xdr:rowOff>
    </xdr:to>
    <xdr:sp macro="" textlink="">
      <xdr:nvSpPr>
        <xdr:cNvPr id="42" name="TextBox 41"/>
        <xdr:cNvSpPr txBox="1"/>
      </xdr:nvSpPr>
      <xdr:spPr>
        <a:xfrm flipV="1">
          <a:off x="568642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12</xdr:col>
      <xdr:colOff>152400</xdr:colOff>
      <xdr:row>60</xdr:row>
      <xdr:rowOff>174405</xdr:rowOff>
    </xdr:from>
    <xdr:to>
      <xdr:col>12</xdr:col>
      <xdr:colOff>263809</xdr:colOff>
      <xdr:row>61</xdr:row>
      <xdr:rowOff>29624</xdr:rowOff>
    </xdr:to>
    <xdr:sp macro="" textlink="">
      <xdr:nvSpPr>
        <xdr:cNvPr id="43" name="TextBox 42"/>
        <xdr:cNvSpPr txBox="1"/>
      </xdr:nvSpPr>
      <xdr:spPr>
        <a:xfrm flipV="1">
          <a:off x="6048375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13</xdr:col>
      <xdr:colOff>133350</xdr:colOff>
      <xdr:row>60</xdr:row>
      <xdr:rowOff>174405</xdr:rowOff>
    </xdr:from>
    <xdr:to>
      <xdr:col>13</xdr:col>
      <xdr:colOff>244759</xdr:colOff>
      <xdr:row>61</xdr:row>
      <xdr:rowOff>29624</xdr:rowOff>
    </xdr:to>
    <xdr:sp macro="" textlink="">
      <xdr:nvSpPr>
        <xdr:cNvPr id="44" name="TextBox 43"/>
        <xdr:cNvSpPr txBox="1"/>
      </xdr:nvSpPr>
      <xdr:spPr>
        <a:xfrm flipV="1">
          <a:off x="6400800" y="1898430"/>
          <a:ext cx="111409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-</a:t>
          </a:r>
        </a:p>
      </xdr:txBody>
    </xdr:sp>
    <xdr:clientData/>
  </xdr:twoCellAnchor>
  <xdr:twoCellAnchor>
    <xdr:from>
      <xdr:col>3</xdr:col>
      <xdr:colOff>9522</xdr:colOff>
      <xdr:row>83</xdr:row>
      <xdr:rowOff>197826</xdr:rowOff>
    </xdr:from>
    <xdr:to>
      <xdr:col>14</xdr:col>
      <xdr:colOff>380999</xdr:colOff>
      <xdr:row>90</xdr:row>
      <xdr:rowOff>0</xdr:rowOff>
    </xdr:to>
    <xdr:sp macro="" textlink="">
      <xdr:nvSpPr>
        <xdr:cNvPr id="45" name="Прямоугольник 44"/>
        <xdr:cNvSpPr/>
      </xdr:nvSpPr>
      <xdr:spPr>
        <a:xfrm>
          <a:off x="2028822" y="16028376"/>
          <a:ext cx="4829177" cy="1145199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4</xdr:col>
      <xdr:colOff>463551</xdr:colOff>
      <xdr:row>83</xdr:row>
      <xdr:rowOff>197246</xdr:rowOff>
    </xdr:from>
    <xdr:to>
      <xdr:col>5</xdr:col>
      <xdr:colOff>795</xdr:colOff>
      <xdr:row>90</xdr:row>
      <xdr:rowOff>793</xdr:rowOff>
    </xdr:to>
    <xdr:cxnSp macro="">
      <xdr:nvCxnSpPr>
        <xdr:cNvPr id="46" name="Прямая соединительная линия 45"/>
        <xdr:cNvCxnSpPr/>
      </xdr:nvCxnSpPr>
      <xdr:spPr>
        <a:xfrm rot="5400000">
          <a:off x="2654500" y="6883597"/>
          <a:ext cx="1146572" cy="3969"/>
        </a:xfrm>
        <a:prstGeom prst="line">
          <a:avLst/>
        </a:prstGeom>
        <a:ln w="22225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434976</xdr:colOff>
      <xdr:row>83</xdr:row>
      <xdr:rowOff>197247</xdr:rowOff>
    </xdr:from>
    <xdr:to>
      <xdr:col>7</xdr:col>
      <xdr:colOff>795</xdr:colOff>
      <xdr:row>90</xdr:row>
      <xdr:rowOff>794</xdr:rowOff>
    </xdr:to>
    <xdr:cxnSp macro="">
      <xdr:nvCxnSpPr>
        <xdr:cNvPr id="51" name="Прямая соединительная линия 50"/>
        <xdr:cNvCxnSpPr/>
      </xdr:nvCxnSpPr>
      <xdr:spPr>
        <a:xfrm rot="5400000">
          <a:off x="3340300" y="16599098"/>
          <a:ext cx="1146572" cy="3969"/>
        </a:xfrm>
        <a:prstGeom prst="line">
          <a:avLst/>
        </a:prstGeom>
        <a:ln w="22225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387351</xdr:colOff>
      <xdr:row>83</xdr:row>
      <xdr:rowOff>197248</xdr:rowOff>
    </xdr:from>
    <xdr:to>
      <xdr:col>9</xdr:col>
      <xdr:colOff>795</xdr:colOff>
      <xdr:row>90</xdr:row>
      <xdr:rowOff>795</xdr:rowOff>
    </xdr:to>
    <xdr:cxnSp macro="">
      <xdr:nvCxnSpPr>
        <xdr:cNvPr id="52" name="Прямая соединительная линия 51"/>
        <xdr:cNvCxnSpPr/>
      </xdr:nvCxnSpPr>
      <xdr:spPr>
        <a:xfrm rot="5400000">
          <a:off x="4149925" y="16599099"/>
          <a:ext cx="1146572" cy="3969"/>
        </a:xfrm>
        <a:prstGeom prst="line">
          <a:avLst/>
        </a:prstGeom>
        <a:ln w="22225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387351</xdr:colOff>
      <xdr:row>83</xdr:row>
      <xdr:rowOff>197249</xdr:rowOff>
    </xdr:from>
    <xdr:to>
      <xdr:col>11</xdr:col>
      <xdr:colOff>795</xdr:colOff>
      <xdr:row>90</xdr:row>
      <xdr:rowOff>796</xdr:rowOff>
    </xdr:to>
    <xdr:cxnSp macro="">
      <xdr:nvCxnSpPr>
        <xdr:cNvPr id="53" name="Прямая соединительная линия 52"/>
        <xdr:cNvCxnSpPr/>
      </xdr:nvCxnSpPr>
      <xdr:spPr>
        <a:xfrm rot="5400000">
          <a:off x="4911925" y="16599100"/>
          <a:ext cx="1146572" cy="3969"/>
        </a:xfrm>
        <a:prstGeom prst="line">
          <a:avLst/>
        </a:prstGeom>
        <a:ln w="22225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187802</xdr:colOff>
      <xdr:row>118</xdr:row>
      <xdr:rowOff>63213</xdr:rowOff>
    </xdr:from>
    <xdr:to>
      <xdr:col>15</xdr:col>
      <xdr:colOff>67238</xdr:colOff>
      <xdr:row>129</xdr:row>
      <xdr:rowOff>167988</xdr:rowOff>
    </xdr:to>
    <xdr:sp macro="" textlink="">
      <xdr:nvSpPr>
        <xdr:cNvPr id="54" name="TextBox 53"/>
        <xdr:cNvSpPr txBox="1"/>
      </xdr:nvSpPr>
      <xdr:spPr>
        <a:xfrm rot="16200000">
          <a:off x="5694882" y="23545751"/>
          <a:ext cx="2200275" cy="2604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Режим работы при </a:t>
          </a:r>
          <a:r>
            <a:rPr lang="en-US" sz="1100"/>
            <a:t>max</a:t>
          </a:r>
          <a:r>
            <a:rPr lang="ru-RU" sz="1100" baseline="0"/>
            <a:t> нагрузках</a:t>
          </a:r>
          <a:endParaRPr lang="ru-RU" sz="1100"/>
        </a:p>
      </xdr:txBody>
    </xdr:sp>
    <xdr:clientData/>
  </xdr:twoCellAnchor>
  <xdr:twoCellAnchor>
    <xdr:from>
      <xdr:col>3</xdr:col>
      <xdr:colOff>9525</xdr:colOff>
      <xdr:row>84</xdr:row>
      <xdr:rowOff>180975</xdr:rowOff>
    </xdr:from>
    <xdr:to>
      <xdr:col>15</xdr:col>
      <xdr:colOff>0</xdr:colOff>
      <xdr:row>84</xdr:row>
      <xdr:rowOff>182563</xdr:rowOff>
    </xdr:to>
    <xdr:cxnSp macro="">
      <xdr:nvCxnSpPr>
        <xdr:cNvPr id="57" name="Прямая соединительная линия 56"/>
        <xdr:cNvCxnSpPr/>
      </xdr:nvCxnSpPr>
      <xdr:spPr>
        <a:xfrm>
          <a:off x="2028825" y="16211550"/>
          <a:ext cx="4829175" cy="1588"/>
        </a:xfrm>
        <a:prstGeom prst="line">
          <a:avLst/>
        </a:prstGeom>
        <a:ln w="22225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473076</xdr:colOff>
      <xdr:row>83</xdr:row>
      <xdr:rowOff>197250</xdr:rowOff>
    </xdr:from>
    <xdr:to>
      <xdr:col>13</xdr:col>
      <xdr:colOff>795</xdr:colOff>
      <xdr:row>90</xdr:row>
      <xdr:rowOff>797</xdr:rowOff>
    </xdr:to>
    <xdr:cxnSp macro="">
      <xdr:nvCxnSpPr>
        <xdr:cNvPr id="58" name="Прямая соединительная линия 57"/>
        <xdr:cNvCxnSpPr/>
      </xdr:nvCxnSpPr>
      <xdr:spPr>
        <a:xfrm rot="5400000">
          <a:off x="5521525" y="16599101"/>
          <a:ext cx="1146572" cy="3969"/>
        </a:xfrm>
        <a:prstGeom prst="line">
          <a:avLst/>
        </a:prstGeom>
        <a:ln w="22225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100</xdr:row>
      <xdr:rowOff>33617</xdr:rowOff>
    </xdr:from>
    <xdr:to>
      <xdr:col>14</xdr:col>
      <xdr:colOff>112061</xdr:colOff>
      <xdr:row>149</xdr:row>
      <xdr:rowOff>190499</xdr:rowOff>
    </xdr:to>
    <xdr:pic>
      <xdr:nvPicPr>
        <xdr:cNvPr id="59" name="Рисунок 58"/>
        <xdr:cNvPicPr/>
      </xdr:nvPicPr>
      <xdr:blipFill>
        <a:blip xmlns:r="http://schemas.openxmlformats.org/officeDocument/2006/relationships" r:embed="rId5"/>
        <a:srcRect l="7244" t="11371" r="9275" b="15920"/>
        <a:stretch>
          <a:fillRect/>
        </a:stretch>
      </xdr:blipFill>
      <xdr:spPr bwMode="auto">
        <a:xfrm rot="16200000">
          <a:off x="-1451160" y="20568395"/>
          <a:ext cx="9491382" cy="6589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150</xdr:row>
      <xdr:rowOff>11205</xdr:rowOff>
    </xdr:from>
    <xdr:to>
      <xdr:col>13</xdr:col>
      <xdr:colOff>235326</xdr:colOff>
      <xdr:row>199</xdr:row>
      <xdr:rowOff>156885</xdr:rowOff>
    </xdr:to>
    <xdr:pic>
      <xdr:nvPicPr>
        <xdr:cNvPr id="60" name="Рисунок 59"/>
        <xdr:cNvPicPr/>
      </xdr:nvPicPr>
      <xdr:blipFill>
        <a:blip xmlns:r="http://schemas.openxmlformats.org/officeDocument/2006/relationships" r:embed="rId6"/>
        <a:srcRect l="5221" t="10740" r="13462" b="15513"/>
        <a:stretch>
          <a:fillRect/>
        </a:stretch>
      </xdr:blipFill>
      <xdr:spPr bwMode="auto">
        <a:xfrm rot="16200000">
          <a:off x="-1574427" y="30194250"/>
          <a:ext cx="9480180" cy="63313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187804</xdr:colOff>
      <xdr:row>169</xdr:row>
      <xdr:rowOff>157664</xdr:rowOff>
    </xdr:from>
    <xdr:to>
      <xdr:col>15</xdr:col>
      <xdr:colOff>67240</xdr:colOff>
      <xdr:row>181</xdr:row>
      <xdr:rowOff>71939</xdr:rowOff>
    </xdr:to>
    <xdr:sp macro="" textlink="">
      <xdr:nvSpPr>
        <xdr:cNvPr id="61" name="TextBox 60"/>
        <xdr:cNvSpPr txBox="1"/>
      </xdr:nvSpPr>
      <xdr:spPr>
        <a:xfrm rot="16200000">
          <a:off x="5694884" y="33362905"/>
          <a:ext cx="2200275" cy="2604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Режим работы при </a:t>
          </a:r>
          <a:r>
            <a:rPr lang="en-US" sz="1100"/>
            <a:t>min</a:t>
          </a:r>
          <a:r>
            <a:rPr lang="ru-RU" sz="1100" baseline="0"/>
            <a:t> нагрузках</a:t>
          </a:r>
          <a:endParaRPr lang="ru-RU" sz="1100"/>
        </a:p>
      </xdr:txBody>
    </xdr:sp>
    <xdr:clientData/>
  </xdr:twoCellAnchor>
  <xdr:twoCellAnchor editAs="oneCell">
    <xdr:from>
      <xdr:col>0</xdr:col>
      <xdr:colOff>0</xdr:colOff>
      <xdr:row>200</xdr:row>
      <xdr:rowOff>33616</xdr:rowOff>
    </xdr:from>
    <xdr:to>
      <xdr:col>13</xdr:col>
      <xdr:colOff>280147</xdr:colOff>
      <xdr:row>249</xdr:row>
      <xdr:rowOff>168087</xdr:rowOff>
    </xdr:to>
    <xdr:pic>
      <xdr:nvPicPr>
        <xdr:cNvPr id="62" name="Рисунок 61"/>
        <xdr:cNvPicPr/>
      </xdr:nvPicPr>
      <xdr:blipFill>
        <a:blip xmlns:r="http://schemas.openxmlformats.org/officeDocument/2006/relationships" r:embed="rId7"/>
        <a:srcRect l="6300" t="11933" r="11315" b="15503"/>
        <a:stretch>
          <a:fillRect/>
        </a:stretch>
      </xdr:blipFill>
      <xdr:spPr bwMode="auto">
        <a:xfrm rot="16200000">
          <a:off x="-1546412" y="39713646"/>
          <a:ext cx="9468971" cy="6376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190509</xdr:colOff>
      <xdr:row>216</xdr:row>
      <xdr:rowOff>123831</xdr:rowOff>
    </xdr:from>
    <xdr:to>
      <xdr:col>15</xdr:col>
      <xdr:colOff>76206</xdr:colOff>
      <xdr:row>230</xdr:row>
      <xdr:rowOff>88451</xdr:rowOff>
    </xdr:to>
    <xdr:sp macro="" textlink="">
      <xdr:nvSpPr>
        <xdr:cNvPr id="63" name="TextBox 62"/>
        <xdr:cNvSpPr txBox="1"/>
      </xdr:nvSpPr>
      <xdr:spPr>
        <a:xfrm rot="16200000">
          <a:off x="5485048" y="42454292"/>
          <a:ext cx="2631620" cy="2666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Режим работы при отключении</a:t>
          </a:r>
          <a:r>
            <a:rPr lang="ru-RU" sz="1100" baseline="0"/>
            <a:t> лини</a:t>
          </a:r>
          <a:r>
            <a:rPr lang="ru-RU" sz="1100"/>
            <a:t> А-1</a:t>
          </a:r>
        </a:p>
      </xdr:txBody>
    </xdr:sp>
    <xdr:clientData/>
  </xdr:twoCellAnchor>
  <xdr:twoCellAnchor editAs="oneCell">
    <xdr:from>
      <xdr:col>0</xdr:col>
      <xdr:colOff>0</xdr:colOff>
      <xdr:row>249</xdr:row>
      <xdr:rowOff>190499</xdr:rowOff>
    </xdr:from>
    <xdr:to>
      <xdr:col>13</xdr:col>
      <xdr:colOff>219078</xdr:colOff>
      <xdr:row>299</xdr:row>
      <xdr:rowOff>171450</xdr:rowOff>
    </xdr:to>
    <xdr:pic>
      <xdr:nvPicPr>
        <xdr:cNvPr id="64" name="Рисунок 63"/>
        <xdr:cNvPicPr/>
      </xdr:nvPicPr>
      <xdr:blipFill>
        <a:blip xmlns:r="http://schemas.openxmlformats.org/officeDocument/2006/relationships" r:embed="rId8"/>
        <a:srcRect l="9338" t="11933" r="9347" b="14558"/>
        <a:stretch>
          <a:fillRect/>
        </a:stretch>
      </xdr:blipFill>
      <xdr:spPr bwMode="auto">
        <a:xfrm rot="16200000">
          <a:off x="-1595437" y="49249011"/>
          <a:ext cx="9505951" cy="63150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190512</xdr:colOff>
      <xdr:row>267</xdr:row>
      <xdr:rowOff>133349</xdr:rowOff>
    </xdr:from>
    <xdr:to>
      <xdr:col>15</xdr:col>
      <xdr:colOff>76209</xdr:colOff>
      <xdr:row>282</xdr:row>
      <xdr:rowOff>144480</xdr:rowOff>
    </xdr:to>
    <xdr:sp macro="" textlink="">
      <xdr:nvSpPr>
        <xdr:cNvPr id="65" name="TextBox 64"/>
        <xdr:cNvSpPr txBox="1"/>
      </xdr:nvSpPr>
      <xdr:spPr>
        <a:xfrm rot="16200000">
          <a:off x="5366545" y="52326391"/>
          <a:ext cx="2868631" cy="2666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Режим работы при отключении</a:t>
          </a:r>
          <a:r>
            <a:rPr lang="ru-RU" sz="1100" baseline="0"/>
            <a:t> тр-ра на ПС1</a:t>
          </a:r>
          <a:endParaRPr lang="ru-RU" sz="1100"/>
        </a:p>
      </xdr:txBody>
    </xdr:sp>
    <xdr:clientData/>
  </xdr:twoCellAnchor>
  <xdr:twoCellAnchor editAs="oneCell">
    <xdr:from>
      <xdr:col>0</xdr:col>
      <xdr:colOff>0</xdr:colOff>
      <xdr:row>299</xdr:row>
      <xdr:rowOff>190498</xdr:rowOff>
    </xdr:from>
    <xdr:to>
      <xdr:col>13</xdr:col>
      <xdr:colOff>257738</xdr:colOff>
      <xdr:row>350</xdr:row>
      <xdr:rowOff>22413</xdr:rowOff>
    </xdr:to>
    <xdr:pic>
      <xdr:nvPicPr>
        <xdr:cNvPr id="66" name="Рисунок 65"/>
        <xdr:cNvPicPr/>
      </xdr:nvPicPr>
      <xdr:blipFill>
        <a:blip xmlns:r="http://schemas.openxmlformats.org/officeDocument/2006/relationships" r:embed="rId9"/>
        <a:srcRect l="7917" t="10979" r="10420" b="14476"/>
        <a:stretch>
          <a:fillRect/>
        </a:stretch>
      </xdr:blipFill>
      <xdr:spPr bwMode="auto">
        <a:xfrm rot="16200000">
          <a:off x="-1596839" y="58780455"/>
          <a:ext cx="9547415" cy="63537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190514</xdr:colOff>
      <xdr:row>316</xdr:row>
      <xdr:rowOff>157167</xdr:rowOff>
    </xdr:from>
    <xdr:to>
      <xdr:col>15</xdr:col>
      <xdr:colOff>76211</xdr:colOff>
      <xdr:row>330</xdr:row>
      <xdr:rowOff>179499</xdr:rowOff>
    </xdr:to>
    <xdr:sp macro="" textlink="">
      <xdr:nvSpPr>
        <xdr:cNvPr id="67" name="TextBox 66"/>
        <xdr:cNvSpPr txBox="1"/>
      </xdr:nvSpPr>
      <xdr:spPr>
        <a:xfrm rot="16200000">
          <a:off x="5456197" y="61566484"/>
          <a:ext cx="2689332" cy="2666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Режим работы при отключении</a:t>
          </a:r>
          <a:r>
            <a:rPr lang="ru-RU" sz="1100" baseline="0"/>
            <a:t> линии 1-4</a:t>
          </a:r>
          <a:endParaRPr lang="ru-RU" sz="1100"/>
        </a:p>
      </xdr:txBody>
    </xdr:sp>
    <xdr:clientData/>
  </xdr:twoCellAnchor>
  <xdr:twoCellAnchor editAs="oneCell">
    <xdr:from>
      <xdr:col>0</xdr:col>
      <xdr:colOff>0</xdr:colOff>
      <xdr:row>349</xdr:row>
      <xdr:rowOff>190499</xdr:rowOff>
    </xdr:from>
    <xdr:to>
      <xdr:col>13</xdr:col>
      <xdr:colOff>209552</xdr:colOff>
      <xdr:row>399</xdr:row>
      <xdr:rowOff>180974</xdr:rowOff>
    </xdr:to>
    <xdr:pic>
      <xdr:nvPicPr>
        <xdr:cNvPr id="68" name="Рисунок 67"/>
        <xdr:cNvPicPr/>
      </xdr:nvPicPr>
      <xdr:blipFill>
        <a:blip xmlns:r="http://schemas.openxmlformats.org/officeDocument/2006/relationships" r:embed="rId10"/>
        <a:srcRect l="8633" t="11933" r="10420" b="14477"/>
        <a:stretch>
          <a:fillRect/>
        </a:stretch>
      </xdr:blipFill>
      <xdr:spPr bwMode="auto">
        <a:xfrm rot="16200000">
          <a:off x="-1604962" y="68308536"/>
          <a:ext cx="9515475" cy="63055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190518</xdr:colOff>
      <xdr:row>366</xdr:row>
      <xdr:rowOff>119061</xdr:rowOff>
    </xdr:from>
    <xdr:to>
      <xdr:col>15</xdr:col>
      <xdr:colOff>76215</xdr:colOff>
      <xdr:row>382</xdr:row>
      <xdr:rowOff>189302</xdr:rowOff>
    </xdr:to>
    <xdr:sp macro="" textlink="">
      <xdr:nvSpPr>
        <xdr:cNvPr id="69" name="TextBox 68"/>
        <xdr:cNvSpPr txBox="1"/>
      </xdr:nvSpPr>
      <xdr:spPr>
        <a:xfrm rot="16200000">
          <a:off x="5241746" y="71267833"/>
          <a:ext cx="3118241" cy="2666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Режим работы при отключении</a:t>
          </a:r>
          <a:r>
            <a:rPr lang="ru-RU" sz="1100" baseline="0"/>
            <a:t> </a:t>
          </a:r>
          <a:r>
            <a:rPr lang="en-US" sz="1100" baseline="0"/>
            <a:t>1-</a:t>
          </a:r>
          <a:r>
            <a:rPr lang="ru-RU" sz="1100" baseline="0"/>
            <a:t>го тр-ра на ПС2</a:t>
          </a:r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69</xdr:row>
      <xdr:rowOff>28575</xdr:rowOff>
    </xdr:from>
    <xdr:to>
      <xdr:col>3</xdr:col>
      <xdr:colOff>85725</xdr:colOff>
      <xdr:row>70</xdr:row>
      <xdr:rowOff>57150</xdr:rowOff>
    </xdr:to>
    <xdr:pic>
      <xdr:nvPicPr>
        <xdr:cNvPr id="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8175" y="13849350"/>
          <a:ext cx="13906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276225</xdr:colOff>
      <xdr:row>105</xdr:row>
      <xdr:rowOff>28575</xdr:rowOff>
    </xdr:from>
    <xdr:to>
      <xdr:col>1</xdr:col>
      <xdr:colOff>581025</xdr:colOff>
      <xdr:row>106</xdr:row>
      <xdr:rowOff>47625</xdr:rowOff>
    </xdr:to>
    <xdr:pic>
      <xdr:nvPicPr>
        <xdr:cNvPr id="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23925" y="33118425"/>
          <a:ext cx="3048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66675</xdr:colOff>
      <xdr:row>112</xdr:row>
      <xdr:rowOff>28575</xdr:rowOff>
    </xdr:from>
    <xdr:to>
      <xdr:col>3</xdr:col>
      <xdr:colOff>647700</xdr:colOff>
      <xdr:row>113</xdr:row>
      <xdr:rowOff>57150</xdr:rowOff>
    </xdr:to>
    <xdr:pic>
      <xdr:nvPicPr>
        <xdr:cNvPr id="1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14375" y="21488400"/>
          <a:ext cx="2038350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504825</xdr:colOff>
      <xdr:row>82</xdr:row>
      <xdr:rowOff>123825</xdr:rowOff>
    </xdr:from>
    <xdr:to>
      <xdr:col>3</xdr:col>
      <xdr:colOff>285750</xdr:colOff>
      <xdr:row>84</xdr:row>
      <xdr:rowOff>114300</xdr:rowOff>
    </xdr:to>
    <xdr:pic>
      <xdr:nvPicPr>
        <xdr:cNvPr id="1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52525" y="29022675"/>
          <a:ext cx="1257300" cy="3714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60</xdr:row>
      <xdr:rowOff>0</xdr:rowOff>
    </xdr:from>
    <xdr:to>
      <xdr:col>3</xdr:col>
      <xdr:colOff>466725</xdr:colOff>
      <xdr:row>61</xdr:row>
      <xdr:rowOff>38100</xdr:rowOff>
    </xdr:to>
    <xdr:pic>
      <xdr:nvPicPr>
        <xdr:cNvPr id="14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22021800"/>
          <a:ext cx="1924050" cy="228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64</xdr:row>
      <xdr:rowOff>19050</xdr:rowOff>
    </xdr:from>
    <xdr:to>
      <xdr:col>3</xdr:col>
      <xdr:colOff>257175</xdr:colOff>
      <xdr:row>65</xdr:row>
      <xdr:rowOff>47625</xdr:rowOff>
    </xdr:to>
    <xdr:pic>
      <xdr:nvPicPr>
        <xdr:cNvPr id="717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66750" y="12887325"/>
          <a:ext cx="1533525" cy="219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390525</xdr:colOff>
      <xdr:row>73</xdr:row>
      <xdr:rowOff>104775</xdr:rowOff>
    </xdr:from>
    <xdr:to>
      <xdr:col>3</xdr:col>
      <xdr:colOff>142875</xdr:colOff>
      <xdr:row>75</xdr:row>
      <xdr:rowOff>104775</xdr:rowOff>
    </xdr:to>
    <xdr:pic>
      <xdr:nvPicPr>
        <xdr:cNvPr id="717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38225" y="14697075"/>
          <a:ext cx="1047750" cy="3810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600075</xdr:colOff>
      <xdr:row>120</xdr:row>
      <xdr:rowOff>133350</xdr:rowOff>
    </xdr:from>
    <xdr:to>
      <xdr:col>3</xdr:col>
      <xdr:colOff>352425</xdr:colOff>
      <xdr:row>122</xdr:row>
      <xdr:rowOff>171450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47775" y="23164800"/>
          <a:ext cx="1209675" cy="4191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361950</xdr:colOff>
      <xdr:row>132</xdr:row>
      <xdr:rowOff>123825</xdr:rowOff>
    </xdr:from>
    <xdr:to>
      <xdr:col>5</xdr:col>
      <xdr:colOff>85725</xdr:colOff>
      <xdr:row>134</xdr:row>
      <xdr:rowOff>161925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57350" y="25460325"/>
          <a:ext cx="1990725" cy="4191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142875</xdr:colOff>
      <xdr:row>126</xdr:row>
      <xdr:rowOff>152400</xdr:rowOff>
    </xdr:from>
    <xdr:to>
      <xdr:col>3</xdr:col>
      <xdr:colOff>742950</xdr:colOff>
      <xdr:row>128</xdr:row>
      <xdr:rowOff>133350</xdr:rowOff>
    </xdr:to>
    <xdr:pic>
      <xdr:nvPicPr>
        <xdr:cNvPr id="717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38275" y="24336375"/>
          <a:ext cx="1409700" cy="3619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323850</xdr:colOff>
      <xdr:row>103</xdr:row>
      <xdr:rowOff>19050</xdr:rowOff>
    </xdr:from>
    <xdr:to>
      <xdr:col>3</xdr:col>
      <xdr:colOff>200025</xdr:colOff>
      <xdr:row>104</xdr:row>
      <xdr:rowOff>38100</xdr:rowOff>
    </xdr:to>
    <xdr:pic>
      <xdr:nvPicPr>
        <xdr:cNvPr id="717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71550" y="19764375"/>
          <a:ext cx="13335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190500</xdr:colOff>
      <xdr:row>106</xdr:row>
      <xdr:rowOff>19050</xdr:rowOff>
    </xdr:from>
    <xdr:to>
      <xdr:col>1</xdr:col>
      <xdr:colOff>581025</xdr:colOff>
      <xdr:row>107</xdr:row>
      <xdr:rowOff>38100</xdr:rowOff>
    </xdr:to>
    <xdr:pic>
      <xdr:nvPicPr>
        <xdr:cNvPr id="717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38200" y="20335875"/>
          <a:ext cx="390525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180975</xdr:colOff>
      <xdr:row>108</xdr:row>
      <xdr:rowOff>28575</xdr:rowOff>
    </xdr:from>
    <xdr:to>
      <xdr:col>3</xdr:col>
      <xdr:colOff>752475</xdr:colOff>
      <xdr:row>109</xdr:row>
      <xdr:rowOff>47625</xdr:rowOff>
    </xdr:to>
    <xdr:pic>
      <xdr:nvPicPr>
        <xdr:cNvPr id="717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8675" y="20726400"/>
          <a:ext cx="2028825" cy="2095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139</xdr:row>
      <xdr:rowOff>114300</xdr:rowOff>
    </xdr:from>
    <xdr:to>
      <xdr:col>5</xdr:col>
      <xdr:colOff>85725</xdr:colOff>
      <xdr:row>141</xdr:row>
      <xdr:rowOff>133350</xdr:rowOff>
    </xdr:to>
    <xdr:pic>
      <xdr:nvPicPr>
        <xdr:cNvPr id="717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47700" y="26793825"/>
          <a:ext cx="1543050" cy="4000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657225</xdr:colOff>
      <xdr:row>146</xdr:row>
      <xdr:rowOff>114300</xdr:rowOff>
    </xdr:from>
    <xdr:to>
      <xdr:col>5</xdr:col>
      <xdr:colOff>66675</xdr:colOff>
      <xdr:row>148</xdr:row>
      <xdr:rowOff>142875</xdr:rowOff>
    </xdr:to>
    <xdr:pic>
      <xdr:nvPicPr>
        <xdr:cNvPr id="717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95450" y="28136850"/>
          <a:ext cx="1676400" cy="409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13" Type="http://schemas.openxmlformats.org/officeDocument/2006/relationships/oleObject" Target="../embeddings/oleObject10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12" Type="http://schemas.openxmlformats.org/officeDocument/2006/relationships/oleObject" Target="../embeddings/oleObject9.bin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8.bin"/><Relationship Id="rId5" Type="http://schemas.openxmlformats.org/officeDocument/2006/relationships/oleObject" Target="../embeddings/oleObject2.bin"/><Relationship Id="rId10" Type="http://schemas.openxmlformats.org/officeDocument/2006/relationships/oleObject" Target="../embeddings/oleObject7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5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14.bin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13.bin"/><Relationship Id="rId5" Type="http://schemas.openxmlformats.org/officeDocument/2006/relationships/oleObject" Target="../embeddings/oleObject12.bin"/><Relationship Id="rId4" Type="http://schemas.openxmlformats.org/officeDocument/2006/relationships/oleObject" Target="../embeddings/oleObject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oleObject" Target="../embeddings/oleObject17.bin"/><Relationship Id="rId4" Type="http://schemas.openxmlformats.org/officeDocument/2006/relationships/oleObject" Target="../embeddings/oleObject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view="pageLayout" workbookViewId="0">
      <selection activeCell="O26" sqref="O26"/>
    </sheetView>
  </sheetViews>
  <sheetFormatPr defaultRowHeight="15"/>
  <cols>
    <col min="1" max="1" width="6.140625" customWidth="1"/>
    <col min="2" max="2" width="5.140625" customWidth="1"/>
    <col min="3" max="3" width="4.5703125" customWidth="1"/>
    <col min="4" max="4" width="5.140625" customWidth="1"/>
    <col min="5" max="5" width="4.5703125" customWidth="1"/>
    <col min="6" max="6" width="5" customWidth="1"/>
    <col min="7" max="7" width="4.5703125" customWidth="1"/>
    <col min="8" max="8" width="5.140625" customWidth="1"/>
    <col min="9" max="9" width="4.7109375" customWidth="1"/>
    <col min="10" max="10" width="5.28515625" customWidth="1"/>
    <col min="11" max="11" width="4.85546875" customWidth="1"/>
    <col min="12" max="12" width="5.140625" customWidth="1"/>
    <col min="13" max="13" width="4.7109375" customWidth="1"/>
    <col min="14" max="14" width="11.85546875" style="66" customWidth="1"/>
    <col min="15" max="15" width="9.85546875" style="66" customWidth="1"/>
    <col min="16" max="16" width="9.7109375" customWidth="1"/>
  </cols>
  <sheetData>
    <row r="1" spans="1:15" s="2" customFormat="1" ht="23.25">
      <c r="A1" s="1" t="s">
        <v>14</v>
      </c>
      <c r="N1" s="67"/>
      <c r="O1" s="67"/>
    </row>
    <row r="2" spans="1:15" s="3" customFormat="1">
      <c r="E2" s="4" t="s">
        <v>15</v>
      </c>
      <c r="N2" s="68"/>
      <c r="O2" s="68"/>
    </row>
    <row r="4" spans="1:15">
      <c r="A4" t="s">
        <v>0</v>
      </c>
    </row>
    <row r="6" spans="1:15">
      <c r="N6" s="101" t="s">
        <v>7</v>
      </c>
      <c r="O6" s="102" t="s">
        <v>11</v>
      </c>
    </row>
    <row r="7" spans="1:15">
      <c r="A7" s="8" t="s">
        <v>1</v>
      </c>
      <c r="C7">
        <v>220</v>
      </c>
      <c r="D7" t="s">
        <v>67</v>
      </c>
      <c r="G7">
        <v>110</v>
      </c>
      <c r="H7" t="s">
        <v>67</v>
      </c>
      <c r="J7" s="5"/>
      <c r="K7" s="5">
        <v>10</v>
      </c>
      <c r="L7" t="s">
        <v>67</v>
      </c>
      <c r="N7" s="103" t="s">
        <v>8</v>
      </c>
      <c r="O7" s="104" t="s">
        <v>12</v>
      </c>
    </row>
    <row r="8" spans="1:15">
      <c r="A8" s="9" t="s">
        <v>5</v>
      </c>
      <c r="B8" s="324" t="s">
        <v>3</v>
      </c>
      <c r="C8" s="325"/>
      <c r="D8" s="322" t="s">
        <v>4</v>
      </c>
      <c r="E8" s="323"/>
      <c r="F8" s="324" t="s">
        <v>3</v>
      </c>
      <c r="G8" s="325"/>
      <c r="H8" s="322" t="s">
        <v>4</v>
      </c>
      <c r="I8" s="323"/>
      <c r="J8" s="324" t="s">
        <v>3</v>
      </c>
      <c r="K8" s="325"/>
      <c r="L8" s="322" t="s">
        <v>4</v>
      </c>
      <c r="M8" s="323"/>
      <c r="N8" s="103" t="s">
        <v>9</v>
      </c>
      <c r="O8" s="106" t="s">
        <v>3</v>
      </c>
    </row>
    <row r="9" spans="1:15">
      <c r="A9" s="10" t="s">
        <v>6</v>
      </c>
      <c r="B9" s="14" t="s">
        <v>2</v>
      </c>
      <c r="C9" s="14" t="s">
        <v>13</v>
      </c>
      <c r="D9" s="15" t="s">
        <v>2</v>
      </c>
      <c r="E9" s="15" t="s">
        <v>13</v>
      </c>
      <c r="F9" s="14" t="s">
        <v>2</v>
      </c>
      <c r="G9" s="14" t="s">
        <v>13</v>
      </c>
      <c r="H9" s="15" t="s">
        <v>2</v>
      </c>
      <c r="I9" s="15" t="s">
        <v>13</v>
      </c>
      <c r="J9" s="14" t="s">
        <v>2</v>
      </c>
      <c r="K9" s="14" t="s">
        <v>13</v>
      </c>
      <c r="L9" s="15" t="s">
        <v>2</v>
      </c>
      <c r="M9" s="15" t="s">
        <v>13</v>
      </c>
      <c r="N9" s="105" t="s">
        <v>10</v>
      </c>
      <c r="O9" s="107" t="s">
        <v>8</v>
      </c>
    </row>
    <row r="10" spans="1:15">
      <c r="A10" s="20">
        <v>1</v>
      </c>
      <c r="B10" s="21"/>
      <c r="C10" s="21"/>
      <c r="D10" s="22"/>
      <c r="E10" s="22"/>
      <c r="F10" s="21">
        <v>41</v>
      </c>
      <c r="G10" s="21">
        <v>0.5</v>
      </c>
      <c r="H10" s="22">
        <v>20</v>
      </c>
      <c r="I10" s="22">
        <v>0.48</v>
      </c>
      <c r="J10" s="21">
        <v>24</v>
      </c>
      <c r="K10" s="21">
        <v>0.5</v>
      </c>
      <c r="L10" s="22">
        <v>12</v>
      </c>
      <c r="M10" s="22">
        <v>0.44</v>
      </c>
      <c r="N10" s="23" t="s">
        <v>16</v>
      </c>
      <c r="O10" s="24">
        <v>4100</v>
      </c>
    </row>
    <row r="11" spans="1:15">
      <c r="A11" s="25">
        <v>2</v>
      </c>
      <c r="B11" s="26"/>
      <c r="C11" s="26"/>
      <c r="D11" s="27"/>
      <c r="E11" s="27"/>
      <c r="F11" s="26"/>
      <c r="G11" s="26"/>
      <c r="H11" s="27"/>
      <c r="I11" s="27"/>
      <c r="J11" s="26">
        <v>32</v>
      </c>
      <c r="K11" s="26">
        <v>0.48</v>
      </c>
      <c r="L11" s="27">
        <v>12</v>
      </c>
      <c r="M11" s="27">
        <v>0.44</v>
      </c>
      <c r="N11" s="28" t="s">
        <v>16</v>
      </c>
      <c r="O11" s="29">
        <v>4000</v>
      </c>
    </row>
    <row r="12" spans="1:15">
      <c r="A12" s="30">
        <v>3</v>
      </c>
      <c r="B12" s="31"/>
      <c r="C12" s="31"/>
      <c r="D12" s="32"/>
      <c r="E12" s="32"/>
      <c r="F12" s="31"/>
      <c r="G12" s="31"/>
      <c r="H12" s="32"/>
      <c r="I12" s="32"/>
      <c r="J12" s="31">
        <v>18</v>
      </c>
      <c r="K12" s="31">
        <v>0.46</v>
      </c>
      <c r="L12" s="32">
        <v>10</v>
      </c>
      <c r="M12" s="32">
        <v>0.43</v>
      </c>
      <c r="N12" s="33" t="s">
        <v>16</v>
      </c>
      <c r="O12" s="34">
        <v>4200</v>
      </c>
    </row>
    <row r="13" spans="1:15">
      <c r="A13" s="35">
        <v>4</v>
      </c>
      <c r="B13" s="36"/>
      <c r="C13" s="36"/>
      <c r="D13" s="37"/>
      <c r="E13" s="37"/>
      <c r="F13" s="36"/>
      <c r="G13" s="36"/>
      <c r="H13" s="37"/>
      <c r="I13" s="37"/>
      <c r="J13" s="36">
        <v>10</v>
      </c>
      <c r="K13" s="36">
        <v>0.47</v>
      </c>
      <c r="L13" s="37">
        <v>5</v>
      </c>
      <c r="M13" s="37">
        <v>0.45</v>
      </c>
      <c r="N13" s="38" t="s">
        <v>16</v>
      </c>
      <c r="O13" s="39">
        <v>4400</v>
      </c>
    </row>
    <row r="14" spans="1:15">
      <c r="A14" s="6">
        <v>5</v>
      </c>
      <c r="B14" s="7"/>
      <c r="C14" s="7"/>
      <c r="D14" s="12"/>
      <c r="E14" s="12"/>
      <c r="F14" s="7"/>
      <c r="G14" s="7"/>
      <c r="H14" s="12"/>
      <c r="I14" s="12"/>
      <c r="J14" s="7"/>
      <c r="K14" s="7"/>
      <c r="L14" s="12"/>
      <c r="M14" s="12"/>
      <c r="N14" s="13"/>
      <c r="O14" s="11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N15" s="69"/>
      <c r="O15" s="69"/>
    </row>
    <row r="16" spans="1: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6">
      <c r="A17" s="5" t="s">
        <v>75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6" ht="18.75">
      <c r="K18" s="71" t="s">
        <v>81</v>
      </c>
      <c r="O18" s="72">
        <v>1.06</v>
      </c>
      <c r="P18" s="73" t="s">
        <v>86</v>
      </c>
    </row>
    <row r="19" spans="1:16" ht="18.75">
      <c r="K19" t="s">
        <v>82</v>
      </c>
      <c r="O19" s="72">
        <v>1.01</v>
      </c>
      <c r="P19" s="73" t="s">
        <v>86</v>
      </c>
    </row>
    <row r="20" spans="1:16">
      <c r="O20" s="72"/>
    </row>
    <row r="21" spans="1:16">
      <c r="A21" t="s">
        <v>76</v>
      </c>
      <c r="O21" s="72"/>
    </row>
    <row r="22" spans="1:16">
      <c r="M22" t="s">
        <v>83</v>
      </c>
      <c r="O22" s="72">
        <v>0.3</v>
      </c>
    </row>
    <row r="23" spans="1:16">
      <c r="M23" t="s">
        <v>84</v>
      </c>
      <c r="O23" s="72">
        <v>0.45</v>
      </c>
    </row>
    <row r="24" spans="1:16">
      <c r="O24" s="72"/>
    </row>
    <row r="25" spans="1:16">
      <c r="A25" t="s">
        <v>77</v>
      </c>
      <c r="O25" s="72"/>
    </row>
    <row r="26" spans="1:16">
      <c r="A26" t="s">
        <v>80</v>
      </c>
      <c r="N26" s="66" t="s">
        <v>73</v>
      </c>
      <c r="O26" s="72">
        <v>1</v>
      </c>
    </row>
    <row r="27" spans="1:16" ht="35.25" customHeight="1">
      <c r="A27" t="s">
        <v>89</v>
      </c>
      <c r="O27" s="72">
        <v>0.7</v>
      </c>
    </row>
    <row r="28" spans="1:16">
      <c r="O28" s="72"/>
    </row>
    <row r="29" spans="1:16" ht="18.75" customHeight="1">
      <c r="O29" s="72"/>
    </row>
    <row r="30" spans="1:16" ht="19.5" customHeight="1">
      <c r="A30" t="s">
        <v>90</v>
      </c>
      <c r="N30" s="66" t="s">
        <v>74</v>
      </c>
      <c r="O30" s="72">
        <v>5</v>
      </c>
      <c r="P30" s="16" t="s">
        <v>17</v>
      </c>
    </row>
    <row r="31" spans="1:16">
      <c r="O31" s="72"/>
    </row>
    <row r="32" spans="1:16">
      <c r="A32" t="s">
        <v>91</v>
      </c>
      <c r="N32" s="66" t="s">
        <v>78</v>
      </c>
      <c r="O32" s="72">
        <v>12</v>
      </c>
      <c r="P32" s="16" t="s">
        <v>18</v>
      </c>
    </row>
    <row r="33" spans="1:16">
      <c r="E33" s="16"/>
      <c r="O33" s="72"/>
    </row>
    <row r="34" spans="1:16" ht="18.75">
      <c r="A34" t="s">
        <v>92</v>
      </c>
      <c r="H34" s="17"/>
      <c r="N34" s="66" t="s">
        <v>79</v>
      </c>
      <c r="O34" s="72">
        <v>1</v>
      </c>
      <c r="P34" s="70" t="s">
        <v>19</v>
      </c>
    </row>
    <row r="35" spans="1:16">
      <c r="O35" s="72"/>
    </row>
    <row r="36" spans="1:16">
      <c r="A36" t="s">
        <v>87</v>
      </c>
      <c r="O36" s="72"/>
    </row>
    <row r="37" spans="1:16">
      <c r="J37" t="s">
        <v>120</v>
      </c>
      <c r="O37" s="72" t="s">
        <v>85</v>
      </c>
    </row>
    <row r="38" spans="1:16">
      <c r="O38" s="72"/>
    </row>
    <row r="39" spans="1:16">
      <c r="A39" t="s">
        <v>88</v>
      </c>
      <c r="O39" s="72"/>
    </row>
    <row r="40" spans="1:16">
      <c r="K40" t="s">
        <v>20</v>
      </c>
      <c r="O40" s="72">
        <v>3</v>
      </c>
    </row>
    <row r="41" spans="1:16">
      <c r="K41" t="s">
        <v>21</v>
      </c>
      <c r="O41" s="72">
        <v>3</v>
      </c>
    </row>
    <row r="51" spans="1:11">
      <c r="A51" t="s">
        <v>22</v>
      </c>
    </row>
    <row r="54" spans="1:11">
      <c r="F54" s="110">
        <v>2</v>
      </c>
      <c r="I54" t="s">
        <v>24</v>
      </c>
      <c r="K54" s="109">
        <v>3</v>
      </c>
    </row>
    <row r="56" spans="1:11">
      <c r="I56" t="s">
        <v>26</v>
      </c>
    </row>
    <row r="57" spans="1:11">
      <c r="G57" t="s">
        <v>27</v>
      </c>
      <c r="K57" t="s">
        <v>25</v>
      </c>
    </row>
    <row r="59" spans="1:11">
      <c r="F59" t="s">
        <v>23</v>
      </c>
      <c r="H59" s="108">
        <v>1</v>
      </c>
    </row>
    <row r="60" spans="1:11">
      <c r="I60" t="s">
        <v>28</v>
      </c>
    </row>
    <row r="61" spans="1:11">
      <c r="C61" t="s">
        <v>32</v>
      </c>
      <c r="K61" s="112">
        <v>4</v>
      </c>
    </row>
    <row r="63" spans="1:11">
      <c r="C63" t="s">
        <v>29</v>
      </c>
    </row>
    <row r="67" spans="1:13" ht="18">
      <c r="A67" s="18" t="s">
        <v>30</v>
      </c>
    </row>
    <row r="69" spans="1:13">
      <c r="A69" s="19" t="s">
        <v>39</v>
      </c>
    </row>
    <row r="70" spans="1:13">
      <c r="A70" s="19" t="s">
        <v>31</v>
      </c>
    </row>
    <row r="71" spans="1:13">
      <c r="A71" s="19" t="s">
        <v>35</v>
      </c>
    </row>
    <row r="72" spans="1:13">
      <c r="A72" s="19" t="s">
        <v>36</v>
      </c>
    </row>
    <row r="73" spans="1:13">
      <c r="A73" s="19" t="s">
        <v>33</v>
      </c>
    </row>
    <row r="74" spans="1:13">
      <c r="A74" s="19" t="s">
        <v>34</v>
      </c>
    </row>
    <row r="76" spans="1:13">
      <c r="H76" s="19" t="s">
        <v>62</v>
      </c>
      <c r="I76" s="19"/>
    </row>
    <row r="77" spans="1:13">
      <c r="H77" s="110">
        <v>2</v>
      </c>
      <c r="M77" s="109">
        <v>3</v>
      </c>
    </row>
    <row r="82" spans="5:13">
      <c r="J82" s="108">
        <v>1</v>
      </c>
    </row>
    <row r="84" spans="5:13">
      <c r="E84" t="s">
        <v>32</v>
      </c>
      <c r="M84" s="112">
        <v>4</v>
      </c>
    </row>
    <row r="86" spans="5:13">
      <c r="F86" s="19" t="s">
        <v>63</v>
      </c>
    </row>
    <row r="88" spans="5:13">
      <c r="H88" s="110">
        <v>2</v>
      </c>
      <c r="M88" s="109">
        <v>3</v>
      </c>
    </row>
    <row r="93" spans="5:13">
      <c r="J93" s="111">
        <v>1</v>
      </c>
    </row>
    <row r="95" spans="5:13">
      <c r="E95" t="s">
        <v>32</v>
      </c>
      <c r="M95" s="112">
        <v>4</v>
      </c>
    </row>
    <row r="100" spans="2:11">
      <c r="B100" t="s">
        <v>52</v>
      </c>
    </row>
    <row r="102" spans="2:11">
      <c r="B102" s="47"/>
      <c r="C102" s="47"/>
      <c r="D102" s="48"/>
      <c r="E102" s="55"/>
      <c r="F102" s="56"/>
      <c r="G102" s="56"/>
      <c r="H102" s="56" t="s">
        <v>53</v>
      </c>
      <c r="I102" s="56"/>
      <c r="J102" s="56"/>
      <c r="K102" s="57"/>
    </row>
    <row r="103" spans="2:11">
      <c r="B103" s="47"/>
      <c r="C103" s="47"/>
      <c r="D103" s="48"/>
      <c r="E103" s="58" t="s">
        <v>55</v>
      </c>
      <c r="F103" s="59" t="s">
        <v>56</v>
      </c>
      <c r="G103" s="58" t="s">
        <v>57</v>
      </c>
      <c r="H103" s="58" t="s">
        <v>58</v>
      </c>
      <c r="I103" s="58" t="s">
        <v>59</v>
      </c>
      <c r="J103" s="58" t="s">
        <v>60</v>
      </c>
      <c r="K103" s="58" t="s">
        <v>61</v>
      </c>
    </row>
    <row r="104" spans="2:11">
      <c r="B104" s="51" t="s">
        <v>54</v>
      </c>
      <c r="C104" s="52"/>
      <c r="D104" s="53"/>
      <c r="E104" s="54">
        <v>57</v>
      </c>
      <c r="F104" s="54">
        <v>28</v>
      </c>
      <c r="G104" s="54">
        <v>28</v>
      </c>
      <c r="H104" s="54">
        <v>29</v>
      </c>
      <c r="I104" s="54">
        <v>40</v>
      </c>
      <c r="J104" s="54"/>
      <c r="K104" s="54">
        <v>35</v>
      </c>
    </row>
    <row r="105" spans="2:11">
      <c r="B105" s="49" t="s">
        <v>64</v>
      </c>
      <c r="C105" s="49"/>
      <c r="D105" s="49"/>
      <c r="E105" s="60">
        <v>2</v>
      </c>
      <c r="F105" s="60">
        <v>2</v>
      </c>
      <c r="G105" s="60">
        <v>2</v>
      </c>
      <c r="H105" s="60">
        <v>2</v>
      </c>
      <c r="I105" s="60"/>
      <c r="J105" s="60"/>
      <c r="K105" s="60"/>
    </row>
    <row r="106" spans="2:11">
      <c r="B106" s="50" t="s">
        <v>65</v>
      </c>
      <c r="C106" s="50"/>
      <c r="D106" s="50"/>
      <c r="E106" s="61">
        <v>2</v>
      </c>
      <c r="F106" s="61">
        <v>2</v>
      </c>
      <c r="G106" s="61"/>
      <c r="H106" s="61">
        <v>1</v>
      </c>
      <c r="I106" s="61">
        <v>1</v>
      </c>
      <c r="J106" s="61"/>
      <c r="K106" s="61">
        <v>1</v>
      </c>
    </row>
  </sheetData>
  <mergeCells count="6">
    <mergeCell ref="L8:M8"/>
    <mergeCell ref="B8:C8"/>
    <mergeCell ref="D8:E8"/>
    <mergeCell ref="F8:G8"/>
    <mergeCell ref="H8:I8"/>
    <mergeCell ref="J8:K8"/>
  </mergeCells>
  <pageMargins left="0.61458333333333337" right="1.488095238095238E-2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view="pageLayout" topLeftCell="A34" workbookViewId="0">
      <selection activeCell="F45" sqref="F45"/>
    </sheetView>
  </sheetViews>
  <sheetFormatPr defaultRowHeight="15"/>
  <cols>
    <col min="4" max="4" width="9.5703125" bestFit="1" customWidth="1"/>
    <col min="5" max="5" width="9.140625" style="5"/>
    <col min="10" max="10" width="9.28515625" customWidth="1"/>
  </cols>
  <sheetData>
    <row r="1" spans="1:7">
      <c r="E1" s="5" t="s">
        <v>40</v>
      </c>
    </row>
    <row r="2" spans="1:7" ht="4.5" customHeight="1"/>
    <row r="3" spans="1:7" ht="18">
      <c r="A3" s="18" t="s">
        <v>37</v>
      </c>
    </row>
    <row r="4" spans="1:7" ht="18">
      <c r="A4" s="18" t="s">
        <v>38</v>
      </c>
    </row>
    <row r="11" spans="1:7">
      <c r="B11" s="19" t="s">
        <v>41</v>
      </c>
    </row>
    <row r="13" spans="1:7">
      <c r="D13" t="s">
        <v>45</v>
      </c>
      <c r="E13"/>
      <c r="F13" s="40">
        <f>'1.1'!F10+'1.1'!J10</f>
        <v>65</v>
      </c>
      <c r="G13" s="5" t="s">
        <v>42</v>
      </c>
    </row>
    <row r="14" spans="1:7">
      <c r="E14"/>
      <c r="G14" s="5"/>
    </row>
    <row r="15" spans="1:7">
      <c r="E15"/>
      <c r="F15" s="40">
        <f>F13*('1.1'!G10)</f>
        <v>32.5</v>
      </c>
      <c r="G15" s="5" t="s">
        <v>43</v>
      </c>
    </row>
    <row r="16" spans="1:7">
      <c r="E16"/>
      <c r="G16" s="5"/>
    </row>
    <row r="17" spans="2:7">
      <c r="E17"/>
      <c r="F17" s="41">
        <f>(F13^2+F15^2)^(1/2)</f>
        <v>72.67220926874316</v>
      </c>
      <c r="G17" s="5" t="s">
        <v>44</v>
      </c>
    </row>
    <row r="18" spans="2:7">
      <c r="E18"/>
      <c r="G18" s="5"/>
    </row>
    <row r="19" spans="2:7">
      <c r="B19" s="19" t="s">
        <v>46</v>
      </c>
      <c r="G19" s="5"/>
    </row>
    <row r="21" spans="2:7">
      <c r="E21" s="42"/>
      <c r="F21">
        <f>'1.1'!J11</f>
        <v>32</v>
      </c>
      <c r="G21" s="5" t="s">
        <v>42</v>
      </c>
    </row>
    <row r="23" spans="2:7">
      <c r="E23"/>
      <c r="F23">
        <f>F21*'1.1'!K11</f>
        <v>15.36</v>
      </c>
      <c r="G23" s="43" t="s">
        <v>43</v>
      </c>
    </row>
    <row r="25" spans="2:7">
      <c r="F25" s="41">
        <f>(F21^2+F23^2)^(1/2)</f>
        <v>35.495487037086839</v>
      </c>
      <c r="G25" s="43" t="s">
        <v>44</v>
      </c>
    </row>
    <row r="27" spans="2:7">
      <c r="B27" s="19" t="s">
        <v>47</v>
      </c>
    </row>
    <row r="29" spans="2:7">
      <c r="E29"/>
      <c r="F29">
        <f>'1.1'!J12</f>
        <v>18</v>
      </c>
      <c r="G29" s="5" t="s">
        <v>42</v>
      </c>
    </row>
    <row r="31" spans="2:7">
      <c r="E31"/>
      <c r="F31">
        <f>F29*'1.1'!K12</f>
        <v>8.2800000000000011</v>
      </c>
      <c r="G31" s="43" t="s">
        <v>43</v>
      </c>
    </row>
    <row r="33" spans="2:7">
      <c r="F33" s="41">
        <f>(F29^2+F31^2)^(1/2)</f>
        <v>19.813086584376499</v>
      </c>
      <c r="G33" s="43" t="s">
        <v>44</v>
      </c>
    </row>
    <row r="35" spans="2:7">
      <c r="B35" s="19" t="s">
        <v>48</v>
      </c>
    </row>
    <row r="37" spans="2:7">
      <c r="E37"/>
      <c r="F37">
        <f>'1.1'!J13</f>
        <v>10</v>
      </c>
      <c r="G37" s="5" t="s">
        <v>42</v>
      </c>
    </row>
    <row r="39" spans="2:7">
      <c r="F39">
        <f>F37*'1.1'!K13</f>
        <v>4.6999999999999993</v>
      </c>
      <c r="G39" s="43" t="s">
        <v>43</v>
      </c>
    </row>
    <row r="41" spans="2:7">
      <c r="F41" s="41">
        <f>(F37^2+F39^2)^(1/2)</f>
        <v>11.04943437466371</v>
      </c>
      <c r="G41" s="43" t="s">
        <v>44</v>
      </c>
    </row>
    <row r="43" spans="2:7">
      <c r="B43" s="19" t="s">
        <v>49</v>
      </c>
    </row>
    <row r="45" spans="2:7">
      <c r="F45">
        <f>'1.1'!O26*(F13+F21+F29+F37)</f>
        <v>125</v>
      </c>
      <c r="G45" s="5" t="s">
        <v>42</v>
      </c>
    </row>
    <row r="47" spans="2:7">
      <c r="B47" s="19" t="s">
        <v>50</v>
      </c>
    </row>
    <row r="49" spans="2:7">
      <c r="F49">
        <f>'1.1'!O26*(F15+F23+F31+F39)</f>
        <v>60.84</v>
      </c>
      <c r="G49" s="43" t="s">
        <v>43</v>
      </c>
    </row>
    <row r="51" spans="2:7">
      <c r="B51" s="19" t="s">
        <v>303</v>
      </c>
    </row>
    <row r="53" spans="2:7">
      <c r="F53" s="41">
        <f>'1.1'!O26*('1.2'!F41+'1.2'!F33+'1.2'!F25+'1.2'!F17)</f>
        <v>139.0302172648702</v>
      </c>
      <c r="G53" s="187" t="s">
        <v>44</v>
      </c>
    </row>
  </sheetData>
  <pageMargins left="0.7" right="1.0416666666666666E-2" top="0.27083333333333331" bottom="0.36458333333333331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J56"/>
  <sheetViews>
    <sheetView view="pageLayout" topLeftCell="A25" zoomScale="85" zoomScalePageLayoutView="85" workbookViewId="0">
      <selection activeCell="I29" sqref="I28:I29"/>
    </sheetView>
  </sheetViews>
  <sheetFormatPr defaultRowHeight="15"/>
  <cols>
    <col min="5" max="5" width="9.5703125" style="41" bestFit="1" customWidth="1"/>
  </cols>
  <sheetData>
    <row r="1" spans="6:6">
      <c r="F1" s="45" t="s">
        <v>51</v>
      </c>
    </row>
    <row r="19" spans="2:10" ht="15.75">
      <c r="B19" s="46" t="s">
        <v>66</v>
      </c>
    </row>
    <row r="21" spans="2:10">
      <c r="E21" s="41">
        <f>1000/((500/'1.1'!E104)+(2500*'1.1'!E105/'1.2'!F45))^(1/2)</f>
        <v>143.1907717777307</v>
      </c>
      <c r="F21" t="s">
        <v>67</v>
      </c>
      <c r="G21" t="s">
        <v>68</v>
      </c>
      <c r="I21">
        <f>IF(E21&gt;110,220,110)</f>
        <v>220</v>
      </c>
      <c r="J21" t="s">
        <v>67</v>
      </c>
    </row>
    <row r="22" spans="2:10">
      <c r="D22" s="19">
        <f>'1.1'!E105</f>
        <v>2</v>
      </c>
    </row>
    <row r="25" spans="2:10">
      <c r="E25" s="41">
        <f>1000/((500/'1.1'!F104)+(2500*'1.1'!F105/'1.2'!F21))^(1/2)</f>
        <v>75.786474674507346</v>
      </c>
      <c r="F25" t="s">
        <v>67</v>
      </c>
      <c r="G25" t="s">
        <v>68</v>
      </c>
      <c r="I25">
        <f>IF(E25&gt;110,220,110)</f>
        <v>110</v>
      </c>
      <c r="J25" t="s">
        <v>67</v>
      </c>
    </row>
    <row r="26" spans="2:10">
      <c r="D26">
        <f>'1.1'!F105</f>
        <v>2</v>
      </c>
    </row>
    <row r="28" spans="2:10">
      <c r="E28" s="41">
        <f>1000/((500/'1.1'!G104)+(2500*'1.1'!G105/'1.2'!F29))^(1/2)</f>
        <v>58.1596968318308</v>
      </c>
      <c r="F28" t="s">
        <v>67</v>
      </c>
      <c r="G28" s="63" t="s">
        <v>68</v>
      </c>
      <c r="I28">
        <f>IF(E28&gt;110,220,110)</f>
        <v>110</v>
      </c>
      <c r="J28" t="s">
        <v>67</v>
      </c>
    </row>
    <row r="29" spans="2:10">
      <c r="D29">
        <f>'1.1'!G105</f>
        <v>2</v>
      </c>
    </row>
    <row r="31" spans="2:10">
      <c r="E31" s="41">
        <f>1000/((500/'1.1'!H104)+(2500*'1.1'!H105/'1.2'!F37))^(1/2)</f>
        <v>43.969686527576393</v>
      </c>
      <c r="F31" t="s">
        <v>67</v>
      </c>
      <c r="G31" s="63" t="s">
        <v>68</v>
      </c>
      <c r="I31">
        <f>IF(E31&gt;110,220,110)</f>
        <v>110</v>
      </c>
      <c r="J31" t="s">
        <v>67</v>
      </c>
    </row>
    <row r="32" spans="2:10">
      <c r="D32">
        <f>'1.1'!H105</f>
        <v>2</v>
      </c>
    </row>
    <row r="35" spans="2:10">
      <c r="B35" s="64" t="s">
        <v>63</v>
      </c>
    </row>
    <row r="37" spans="2:10">
      <c r="E37" s="41">
        <f>1000/((500/'1.1'!E104)+(2500*'1.1'!E106/'1.2'!F45))^(1/2)</f>
        <v>143.1907717777307</v>
      </c>
      <c r="F37" t="s">
        <v>67</v>
      </c>
      <c r="G37" s="63" t="s">
        <v>68</v>
      </c>
      <c r="I37">
        <f>IF(E37&gt;110,220,110)</f>
        <v>220</v>
      </c>
      <c r="J37" t="s">
        <v>67</v>
      </c>
    </row>
    <row r="38" spans="2:10">
      <c r="D38">
        <f>'1.1'!E106</f>
        <v>2</v>
      </c>
    </row>
    <row r="41" spans="2:10">
      <c r="E41" s="41">
        <f>1000/((500/'1.1'!F104)+(2500*'1.1'!F106/'1.2'!F21))^(1/2)</f>
        <v>75.786474674507346</v>
      </c>
      <c r="F41" t="s">
        <v>67</v>
      </c>
      <c r="G41" s="63" t="s">
        <v>68</v>
      </c>
      <c r="I41">
        <f>IF(E41&gt;110,220,110)</f>
        <v>110</v>
      </c>
      <c r="J41" t="s">
        <v>67</v>
      </c>
    </row>
    <row r="42" spans="2:10">
      <c r="D42">
        <f>'1.1'!F106</f>
        <v>2</v>
      </c>
    </row>
    <row r="45" spans="2:10">
      <c r="E45" s="41">
        <f>1000/((500/'1.1'!H104)+(2500*'1.1'!H106/'1.2'!F37))^(1/2)</f>
        <v>61.171361631657078</v>
      </c>
      <c r="F45" t="s">
        <v>67</v>
      </c>
      <c r="G45" s="63" t="s">
        <v>68</v>
      </c>
      <c r="I45">
        <f>IF(E45&gt;110,220,110)</f>
        <v>110</v>
      </c>
      <c r="J45" t="s">
        <v>67</v>
      </c>
    </row>
    <row r="46" spans="2:10">
      <c r="D46">
        <f>'1.1'!H106</f>
        <v>1</v>
      </c>
    </row>
    <row r="51" spans="4:10">
      <c r="E51" s="41">
        <f>1000/((500/'1.1'!I104)+(2500*'1.1'!I106/'1.2'!F29))^(1/2)</f>
        <v>81.274255377431558</v>
      </c>
      <c r="F51" t="s">
        <v>67</v>
      </c>
      <c r="G51" s="63" t="s">
        <v>68</v>
      </c>
      <c r="H51" s="62"/>
      <c r="I51">
        <f>IF(E51&gt;110,220,110)</f>
        <v>110</v>
      </c>
      <c r="J51" t="s">
        <v>67</v>
      </c>
    </row>
    <row r="52" spans="4:10">
      <c r="D52">
        <f>'1.1'!I106</f>
        <v>1</v>
      </c>
    </row>
    <row r="55" spans="4:10">
      <c r="E55" s="41">
        <f>1000/((500/'1.1'!K104)+(2500*'1.1'!K106/'1.2'!F37))^(1/2)</f>
        <v>61.51246852292455</v>
      </c>
      <c r="F55" t="s">
        <v>67</v>
      </c>
      <c r="G55" s="63" t="s">
        <v>68</v>
      </c>
      <c r="I55">
        <f>IF(E55&gt;110,220,110)</f>
        <v>110</v>
      </c>
      <c r="J55" t="s">
        <v>67</v>
      </c>
    </row>
    <row r="56" spans="4:10">
      <c r="D56">
        <f>'1.1'!K106</f>
        <v>1</v>
      </c>
    </row>
  </sheetData>
  <pageMargins left="0.63541666666666663" right="0.41666666666666669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H162"/>
  <sheetViews>
    <sheetView view="pageLayout" topLeftCell="A118" zoomScaleSheetLayoutView="115" workbookViewId="0">
      <selection activeCell="J170" sqref="J170"/>
    </sheetView>
  </sheetViews>
  <sheetFormatPr defaultRowHeight="15"/>
  <cols>
    <col min="1" max="1" width="12.140625" customWidth="1"/>
    <col min="10" max="10" width="8" customWidth="1"/>
  </cols>
  <sheetData>
    <row r="1" spans="3:8">
      <c r="F1" s="44" t="s">
        <v>69</v>
      </c>
    </row>
    <row r="14" spans="3:8">
      <c r="C14" s="65" t="s">
        <v>70</v>
      </c>
    </row>
    <row r="16" spans="3:8">
      <c r="G16" s="41">
        <f>'1.2'!F17+'1.2'!F25+'1.2'!F33+'1.2'!F41</f>
        <v>139.0302172648702</v>
      </c>
      <c r="H16" t="s">
        <v>44</v>
      </c>
    </row>
    <row r="18" spans="1:8">
      <c r="G18" s="41">
        <f>'1.2'!F25</f>
        <v>35.495487037086839</v>
      </c>
      <c r="H18" t="s">
        <v>44</v>
      </c>
    </row>
    <row r="20" spans="1:8">
      <c r="G20" s="41">
        <f>'1.2'!F33</f>
        <v>19.813086584376499</v>
      </c>
      <c r="H20" t="s">
        <v>44</v>
      </c>
    </row>
    <row r="22" spans="1:8">
      <c r="G22" s="41">
        <f>'1.2'!F41</f>
        <v>11.04943437466371</v>
      </c>
      <c r="H22" t="s">
        <v>44</v>
      </c>
    </row>
    <row r="25" spans="1:8">
      <c r="B25" s="78" t="s">
        <v>71</v>
      </c>
    </row>
    <row r="27" spans="1:8">
      <c r="E27" s="5" t="s">
        <v>72</v>
      </c>
      <c r="G27" s="41">
        <f>0.7*G16</f>
        <v>97.321152085409139</v>
      </c>
      <c r="H27" t="s">
        <v>44</v>
      </c>
    </row>
    <row r="30" spans="1:8">
      <c r="A30" s="19" t="s">
        <v>98</v>
      </c>
    </row>
    <row r="32" spans="1:8">
      <c r="G32">
        <v>125</v>
      </c>
      <c r="H32" t="s">
        <v>44</v>
      </c>
    </row>
    <row r="52" spans="3:7">
      <c r="G52" s="41">
        <f>G16/(2*G32)</f>
        <v>0.55612086905948077</v>
      </c>
    </row>
    <row r="54" spans="3:7">
      <c r="C54" s="76">
        <v>1</v>
      </c>
    </row>
    <row r="55" spans="3:7">
      <c r="D55" s="77" t="str">
        <f>IF(G52&lt;C54,"         -   условие выполняется","         -   УСЛОВИЕ НЕ ВЫПОЛНЯЕТСЯ")</f>
        <v xml:space="preserve">         -   условие выполняется</v>
      </c>
    </row>
    <row r="58" spans="3:7">
      <c r="G58" s="41">
        <f>G16/G32</f>
        <v>1.1122417381189615</v>
      </c>
    </row>
    <row r="66" spans="1:7">
      <c r="A66" s="100" t="s">
        <v>119</v>
      </c>
      <c r="C66">
        <v>1.4</v>
      </c>
    </row>
    <row r="67" spans="1:7">
      <c r="D67" s="77" t="str">
        <f>IF(G58&lt;=C66,"         -   условие выполняется","         -   УСЛОВИЕ НЕ ВЫПОЛНЯЕТСЯ")</f>
        <v xml:space="preserve">         -   условие выполняется</v>
      </c>
    </row>
    <row r="72" spans="1:7">
      <c r="A72" t="s">
        <v>264</v>
      </c>
    </row>
    <row r="73" spans="1:7">
      <c r="A73" t="s">
        <v>266</v>
      </c>
    </row>
    <row r="76" spans="1:7">
      <c r="A76" t="s">
        <v>265</v>
      </c>
    </row>
    <row r="78" spans="1:7">
      <c r="B78" s="41">
        <f>SQRT('1.1'!J10^2+('1.1'!K10*'1.1'!J10)^2)</f>
        <v>26.832815729997478</v>
      </c>
      <c r="C78" t="s">
        <v>44</v>
      </c>
      <c r="D78" t="s">
        <v>267</v>
      </c>
      <c r="G78" t="s">
        <v>268</v>
      </c>
    </row>
    <row r="81" spans="1:8">
      <c r="B81" s="78" t="s">
        <v>99</v>
      </c>
    </row>
    <row r="83" spans="1:8">
      <c r="E83" s="5" t="s">
        <v>72</v>
      </c>
      <c r="G83" s="41">
        <f>0.7*G18</f>
        <v>24.846840925960787</v>
      </c>
      <c r="H83" t="s">
        <v>44</v>
      </c>
    </row>
    <row r="86" spans="1:8">
      <c r="A86" s="19" t="s">
        <v>100</v>
      </c>
    </row>
    <row r="88" spans="1:8">
      <c r="G88">
        <v>25</v>
      </c>
      <c r="H88" t="s">
        <v>44</v>
      </c>
    </row>
    <row r="93" spans="1:8">
      <c r="G93" s="41">
        <f>G18/(2*G88)</f>
        <v>0.70990974074173674</v>
      </c>
    </row>
    <row r="95" spans="1:8">
      <c r="C95" s="76">
        <v>1</v>
      </c>
    </row>
    <row r="96" spans="1:8">
      <c r="D96" s="77" t="str">
        <f>IF(G93&lt;C95,"         -   условие выполняется","         -   УСЛОВИЕ НЕ ВЫПОЛНЯЕТСЯ")</f>
        <v xml:space="preserve">         -   условие выполняется</v>
      </c>
    </row>
    <row r="102" spans="1:7">
      <c r="G102" s="41">
        <f>G18/G88</f>
        <v>1.4198194814834735</v>
      </c>
    </row>
    <row r="104" spans="1:7">
      <c r="A104" s="63" t="s">
        <v>119</v>
      </c>
      <c r="C104">
        <v>1.5</v>
      </c>
    </row>
    <row r="105" spans="1:7">
      <c r="D105" s="77" t="str">
        <f>IF(G102&lt;=C104,"         -   условие выполняется","         -   УСЛОВИЕ НЕ ВЫПОЛНЯЕТСЯ")</f>
        <v xml:space="preserve">         -   условие выполняется</v>
      </c>
    </row>
    <row r="113" spans="1:8">
      <c r="B113" s="78" t="s">
        <v>101</v>
      </c>
    </row>
    <row r="115" spans="1:8">
      <c r="E115" s="5" t="s">
        <v>72</v>
      </c>
      <c r="G115" s="41">
        <f>0.7*G20</f>
        <v>13.869160609063549</v>
      </c>
      <c r="H115" t="s">
        <v>44</v>
      </c>
    </row>
    <row r="118" spans="1:8">
      <c r="A118" s="19" t="s">
        <v>102</v>
      </c>
    </row>
    <row r="120" spans="1:8">
      <c r="G120">
        <v>16</v>
      </c>
      <c r="H120" t="s">
        <v>44</v>
      </c>
    </row>
    <row r="125" spans="1:8">
      <c r="G125" s="41">
        <f>G20/(2*G120)</f>
        <v>0.61915895576176561</v>
      </c>
    </row>
    <row r="127" spans="1:8">
      <c r="C127" s="76">
        <v>1</v>
      </c>
    </row>
    <row r="128" spans="1:8">
      <c r="D128" s="77" t="str">
        <f>IF(G125&lt;C127,"         -   условие выполняется","         -   УСЛОВИЕ НЕ ВЫПОЛНЯЕТСЯ")</f>
        <v xml:space="preserve">         -   условие выполняется</v>
      </c>
    </row>
    <row r="131" spans="1:8">
      <c r="G131" s="41">
        <f>G20/G120</f>
        <v>1.2383179115235312</v>
      </c>
    </row>
    <row r="133" spans="1:8">
      <c r="A133" s="63" t="s">
        <v>119</v>
      </c>
      <c r="C133">
        <v>1.3</v>
      </c>
    </row>
    <row r="134" spans="1:8">
      <c r="D134" s="77" t="str">
        <f>IF(G131&lt;=C133,"         -   условие выполняется","         -   УСЛОВИЕ НЕ ВЫПОЛНЯЕТСЯ")</f>
        <v xml:space="preserve">         -   условие выполняется</v>
      </c>
    </row>
    <row r="138" spans="1:8">
      <c r="B138" s="78" t="s">
        <v>103</v>
      </c>
    </row>
    <row r="140" spans="1:8">
      <c r="E140" s="5" t="s">
        <v>72</v>
      </c>
      <c r="G140" s="41">
        <f>0.7*G22</f>
        <v>7.7346040622645962</v>
      </c>
      <c r="H140" t="s">
        <v>44</v>
      </c>
    </row>
    <row r="143" spans="1:8">
      <c r="A143" s="19" t="s">
        <v>104</v>
      </c>
    </row>
    <row r="145" spans="3:8">
      <c r="G145">
        <v>10</v>
      </c>
      <c r="H145" t="s">
        <v>44</v>
      </c>
    </row>
    <row r="153" spans="3:8">
      <c r="G153" s="41">
        <f>G22/(2*G145)</f>
        <v>0.55247171873318546</v>
      </c>
    </row>
    <row r="155" spans="3:8">
      <c r="C155" s="76">
        <v>1</v>
      </c>
    </row>
    <row r="156" spans="3:8">
      <c r="D156" s="77" t="str">
        <f>IF(G153&lt;C155,"         -   условие выполняется","         -   УСЛОВИЕ НЕ ВЫПОЛНЯЕТСЯ")</f>
        <v xml:space="preserve">         -   условие выполняется</v>
      </c>
    </row>
    <row r="159" spans="3:8">
      <c r="G159" s="41">
        <f>G22/G145</f>
        <v>1.1049434374663709</v>
      </c>
    </row>
    <row r="161" spans="1:4">
      <c r="A161" s="63" t="s">
        <v>119</v>
      </c>
      <c r="C161">
        <v>1.3</v>
      </c>
    </row>
    <row r="162" spans="1:4">
      <c r="D162" s="77" t="str">
        <f>IF(G159&lt;=C161,"         -   условие выполняется","         -   УСЛОВИЕ НЕ ВЫПОЛНЯЕТСЯ")</f>
        <v xml:space="preserve">         -   условие выполняется</v>
      </c>
    </row>
  </sheetData>
  <pageMargins left="0.72916666666666663" right="0.23958333333333334" top="0.75" bottom="0.73958333333333337" header="0.3" footer="0.3"/>
  <pageSetup paperSize="9" orientation="portrait" horizontalDpi="300" verticalDpi="300" r:id="rId1"/>
  <drawing r:id="rId2"/>
  <legacyDrawing r:id="rId3"/>
  <oleObjects>
    <oleObject progId="Equation.3" shapeId="4099" r:id="rId4"/>
    <oleObject progId="Equation.3" shapeId="4100" r:id="rId5"/>
    <oleObject progId="Equation.3" shapeId="4110" r:id="rId6"/>
    <oleObject progId="Equation.3" shapeId="4112" r:id="rId7"/>
    <oleObject progId="Equation.3" shapeId="4158" r:id="rId8"/>
    <oleObject progId="Equation.3" shapeId="4159" r:id="rId9"/>
    <oleObject progId="Equation.3" shapeId="4175" r:id="rId10"/>
    <oleObject progId="Equation.3" shapeId="4177" r:id="rId11"/>
    <oleObject progId="Equation.3" shapeId="4180" r:id="rId12"/>
    <oleObject progId="Equation.3" shapeId="4181" r:id="rId13"/>
  </oleObjec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6"/>
  </sheetPr>
  <dimension ref="A6:O49"/>
  <sheetViews>
    <sheetView view="pageLayout" workbookViewId="0">
      <selection activeCell="M11" sqref="M11"/>
    </sheetView>
  </sheetViews>
  <sheetFormatPr defaultRowHeight="15"/>
  <cols>
    <col min="1" max="1" width="5.7109375" style="5" customWidth="1"/>
    <col min="2" max="2" width="6.140625" customWidth="1"/>
    <col min="3" max="3" width="19.85546875" customWidth="1"/>
    <col min="4" max="4" width="7.140625" customWidth="1"/>
    <col min="5" max="5" width="6.5703125" customWidth="1"/>
    <col min="6" max="6" width="5.7109375" customWidth="1"/>
    <col min="7" max="7" width="5.5703125" customWidth="1"/>
    <col min="8" max="8" width="5.42578125" customWidth="1"/>
    <col min="9" max="11" width="5.28515625" customWidth="1"/>
    <col min="12" max="12" width="5" customWidth="1"/>
    <col min="13" max="13" width="5.28515625" customWidth="1"/>
    <col min="14" max="14" width="4.5703125" customWidth="1"/>
    <col min="15" max="15" width="4.7109375" customWidth="1"/>
  </cols>
  <sheetData>
    <row r="6" spans="1:15">
      <c r="A6" s="79"/>
      <c r="B6" s="97" t="s">
        <v>105</v>
      </c>
      <c r="C6" s="79"/>
      <c r="D6" s="79" t="s">
        <v>112</v>
      </c>
      <c r="E6" s="82"/>
      <c r="F6" s="96"/>
      <c r="G6" s="84"/>
      <c r="H6" s="79"/>
      <c r="I6" s="79"/>
      <c r="J6" s="82"/>
      <c r="K6" s="90"/>
      <c r="L6" s="91"/>
      <c r="M6" s="94"/>
      <c r="N6" s="90"/>
      <c r="O6" s="91"/>
    </row>
    <row r="7" spans="1:15" ht="15.75">
      <c r="A7" s="88" t="s">
        <v>1</v>
      </c>
      <c r="B7" s="98" t="s">
        <v>106</v>
      </c>
      <c r="C7" s="80"/>
      <c r="D7" s="80" t="s">
        <v>108</v>
      </c>
      <c r="E7" s="83"/>
      <c r="F7" s="85"/>
      <c r="G7" s="86"/>
      <c r="H7" s="87"/>
      <c r="I7" s="87"/>
      <c r="J7" s="83"/>
      <c r="K7" s="92"/>
      <c r="L7" s="93"/>
      <c r="M7" s="95"/>
      <c r="N7" s="92"/>
      <c r="O7" s="93"/>
    </row>
    <row r="8" spans="1:15">
      <c r="A8" s="81"/>
      <c r="B8" s="99" t="s">
        <v>107</v>
      </c>
      <c r="C8" s="81"/>
      <c r="D8" s="81" t="s">
        <v>44</v>
      </c>
      <c r="E8" s="11" t="s">
        <v>109</v>
      </c>
      <c r="F8" s="11" t="s">
        <v>110</v>
      </c>
      <c r="G8" s="11" t="s">
        <v>111</v>
      </c>
      <c r="H8" s="81" t="s">
        <v>113</v>
      </c>
      <c r="I8" s="81" t="s">
        <v>114</v>
      </c>
      <c r="J8" s="11" t="s">
        <v>109</v>
      </c>
      <c r="K8" s="89" t="s">
        <v>110</v>
      </c>
      <c r="L8" s="89" t="s">
        <v>111</v>
      </c>
      <c r="M8" s="89" t="s">
        <v>109</v>
      </c>
      <c r="N8" s="89" t="s">
        <v>110</v>
      </c>
      <c r="O8" s="89" t="s">
        <v>111</v>
      </c>
    </row>
    <row r="9" spans="1:15">
      <c r="A9" s="137">
        <v>1</v>
      </c>
      <c r="B9" s="137">
        <v>2</v>
      </c>
      <c r="C9" s="182" t="s">
        <v>207</v>
      </c>
      <c r="D9" s="137">
        <v>125</v>
      </c>
      <c r="E9" s="137">
        <v>230</v>
      </c>
      <c r="F9" s="137">
        <v>121</v>
      </c>
      <c r="G9" s="137">
        <v>10.5</v>
      </c>
      <c r="H9" s="137">
        <v>65</v>
      </c>
      <c r="I9" s="137">
        <v>625</v>
      </c>
      <c r="J9" s="180">
        <v>0.52</v>
      </c>
      <c r="K9" s="180">
        <v>0.52</v>
      </c>
      <c r="L9" s="181">
        <v>3.2</v>
      </c>
      <c r="M9" s="181">
        <v>49</v>
      </c>
      <c r="N9" s="137">
        <v>0</v>
      </c>
      <c r="O9" s="137">
        <v>131</v>
      </c>
    </row>
    <row r="10" spans="1:15">
      <c r="A10" s="127">
        <v>1</v>
      </c>
      <c r="B10" s="127">
        <v>2</v>
      </c>
      <c r="C10" s="128" t="s">
        <v>268</v>
      </c>
      <c r="D10" s="127">
        <v>40</v>
      </c>
      <c r="E10" s="127">
        <f>G9</f>
        <v>10.5</v>
      </c>
      <c r="F10" s="127"/>
      <c r="G10" s="127">
        <v>11</v>
      </c>
      <c r="H10" s="127">
        <v>18.5</v>
      </c>
      <c r="I10" s="127"/>
      <c r="J10" s="127"/>
      <c r="K10" s="127"/>
      <c r="L10" s="127"/>
      <c r="M10" s="127"/>
      <c r="N10" s="127"/>
      <c r="O10" s="127">
        <v>0.03</v>
      </c>
    </row>
    <row r="11" spans="1:15">
      <c r="A11" s="217">
        <v>2</v>
      </c>
      <c r="B11" s="137">
        <v>2</v>
      </c>
      <c r="C11" s="224" t="s">
        <v>204</v>
      </c>
      <c r="D11" s="137">
        <v>25</v>
      </c>
      <c r="E11" s="137">
        <v>115</v>
      </c>
      <c r="F11" s="137"/>
      <c r="G11" s="137">
        <v>10.5</v>
      </c>
      <c r="H11" s="137">
        <v>27</v>
      </c>
      <c r="I11" s="137">
        <v>175</v>
      </c>
      <c r="J11" s="180">
        <v>2.54</v>
      </c>
      <c r="K11" s="137"/>
      <c r="L11" s="137"/>
      <c r="M11" s="137">
        <v>55.9</v>
      </c>
      <c r="N11" s="137"/>
      <c r="O11" s="137"/>
    </row>
    <row r="12" spans="1:15">
      <c r="A12" s="214">
        <v>3</v>
      </c>
      <c r="B12" s="127">
        <v>2</v>
      </c>
      <c r="C12" s="128" t="s">
        <v>205</v>
      </c>
      <c r="D12" s="127">
        <v>16</v>
      </c>
      <c r="E12" s="127">
        <v>115</v>
      </c>
      <c r="F12" s="127"/>
      <c r="G12" s="127">
        <v>11</v>
      </c>
      <c r="H12" s="127">
        <v>19</v>
      </c>
      <c r="I12" s="127">
        <v>112</v>
      </c>
      <c r="J12" s="148">
        <v>4.38</v>
      </c>
      <c r="K12" s="127"/>
      <c r="L12" s="127"/>
      <c r="M12" s="178">
        <v>86.7</v>
      </c>
      <c r="N12" s="127"/>
      <c r="O12" s="127"/>
    </row>
    <row r="13" spans="1:15">
      <c r="A13" s="217">
        <v>4</v>
      </c>
      <c r="B13" s="137">
        <v>2</v>
      </c>
      <c r="C13" s="179" t="s">
        <v>206</v>
      </c>
      <c r="D13" s="137">
        <v>10</v>
      </c>
      <c r="E13" s="137">
        <v>115</v>
      </c>
      <c r="F13" s="137"/>
      <c r="G13" s="137">
        <v>11</v>
      </c>
      <c r="H13" s="137">
        <v>14</v>
      </c>
      <c r="I13" s="137">
        <v>70</v>
      </c>
      <c r="J13" s="180">
        <v>7.95</v>
      </c>
      <c r="K13" s="137"/>
      <c r="L13" s="137"/>
      <c r="M13" s="137">
        <v>139</v>
      </c>
      <c r="N13" s="137"/>
      <c r="O13" s="137"/>
    </row>
    <row r="14" spans="1:15">
      <c r="B14" s="5"/>
      <c r="C14" s="5"/>
      <c r="D14" s="5"/>
      <c r="E14" s="5"/>
      <c r="F14" s="5"/>
      <c r="G14" s="5"/>
      <c r="H14" s="5"/>
      <c r="I14" s="5"/>
    </row>
    <row r="15" spans="1:15">
      <c r="B15" s="5"/>
      <c r="C15" s="5"/>
      <c r="D15" s="5"/>
      <c r="E15" s="5"/>
      <c r="F15" s="5"/>
      <c r="G15" s="5"/>
      <c r="H15" s="5"/>
      <c r="I15" s="5"/>
    </row>
    <row r="16" spans="1:15">
      <c r="B16" s="5"/>
      <c r="C16" s="5"/>
      <c r="E16" s="5"/>
      <c r="F16" s="5"/>
      <c r="G16" s="5"/>
      <c r="H16" s="5"/>
      <c r="I16" s="5"/>
    </row>
    <row r="17" spans="1:15">
      <c r="A17" s="254"/>
      <c r="B17" s="254"/>
      <c r="C17" s="255"/>
      <c r="D17" s="255"/>
      <c r="E17" s="254"/>
      <c r="F17" s="254"/>
      <c r="G17" s="254"/>
      <c r="H17" s="254"/>
      <c r="I17" s="254"/>
      <c r="J17" s="255"/>
      <c r="K17" s="255"/>
      <c r="L17" s="255"/>
      <c r="M17" s="255"/>
      <c r="N17" s="255"/>
      <c r="O17" s="255"/>
    </row>
    <row r="18" spans="1:15">
      <c r="A18" s="254"/>
      <c r="B18" s="254"/>
      <c r="C18" s="254"/>
      <c r="D18" s="255"/>
      <c r="E18" s="254"/>
      <c r="F18" s="254"/>
      <c r="G18" s="254"/>
      <c r="H18" s="254"/>
      <c r="I18" s="254"/>
      <c r="J18" s="255"/>
      <c r="K18" s="255"/>
      <c r="L18" s="255"/>
      <c r="M18" s="255"/>
      <c r="N18" s="255"/>
      <c r="O18" s="255"/>
    </row>
    <row r="19" spans="1:15">
      <c r="A19" s="254"/>
      <c r="B19" s="254"/>
      <c r="C19" s="254"/>
      <c r="D19" s="255"/>
      <c r="E19" s="254"/>
      <c r="F19" s="254"/>
      <c r="G19" s="254"/>
      <c r="H19" s="254"/>
      <c r="I19" s="254"/>
      <c r="J19" s="255"/>
      <c r="K19" s="255"/>
      <c r="L19" s="255"/>
      <c r="M19" s="255"/>
      <c r="N19" s="255"/>
      <c r="O19" s="255"/>
    </row>
    <row r="20" spans="1:15" ht="15.75">
      <c r="A20" s="254"/>
      <c r="B20" s="256"/>
      <c r="C20" s="254"/>
      <c r="D20" s="255"/>
      <c r="E20" s="255"/>
      <c r="F20" s="255"/>
      <c r="G20" s="255"/>
      <c r="H20" s="254"/>
      <c r="I20" s="257"/>
      <c r="J20" s="255"/>
      <c r="K20" s="255"/>
      <c r="L20" s="257"/>
      <c r="M20" s="255"/>
      <c r="N20" s="255"/>
      <c r="O20" s="255"/>
    </row>
    <row r="21" spans="1:15">
      <c r="A21" s="254"/>
      <c r="B21" s="254"/>
      <c r="C21" s="255"/>
      <c r="D21" s="255"/>
      <c r="E21" s="255"/>
      <c r="F21" s="255"/>
      <c r="G21" s="255"/>
      <c r="H21" s="255"/>
      <c r="I21" s="257"/>
      <c r="J21" s="255"/>
      <c r="K21" s="255"/>
      <c r="L21" s="257"/>
      <c r="M21" s="255"/>
      <c r="N21" s="255"/>
      <c r="O21" s="255"/>
    </row>
    <row r="22" spans="1:15">
      <c r="A22" s="254"/>
      <c r="B22" s="254"/>
      <c r="C22" s="258"/>
      <c r="D22" s="255"/>
      <c r="E22" s="259"/>
      <c r="F22" s="255"/>
      <c r="G22" s="255"/>
      <c r="H22" s="260"/>
      <c r="I22" s="255"/>
      <c r="J22" s="260"/>
      <c r="K22" s="255"/>
      <c r="L22" s="255"/>
      <c r="M22" s="261"/>
      <c r="N22" s="255"/>
      <c r="O22" s="255"/>
    </row>
    <row r="23" spans="1:15">
      <c r="A23" s="254"/>
      <c r="B23" s="254"/>
      <c r="C23" s="262"/>
      <c r="D23" s="255"/>
      <c r="E23" s="255"/>
      <c r="F23" s="255"/>
      <c r="G23" s="255"/>
      <c r="H23" s="260"/>
      <c r="I23" s="255"/>
      <c r="J23" s="255"/>
      <c r="K23" s="255"/>
      <c r="L23" s="255"/>
      <c r="M23" s="260"/>
      <c r="N23" s="255"/>
      <c r="O23" s="255"/>
    </row>
    <row r="24" spans="1:15">
      <c r="A24" s="254"/>
      <c r="B24" s="254"/>
      <c r="C24" s="262"/>
      <c r="D24" s="255"/>
      <c r="E24" s="255"/>
      <c r="F24" s="255"/>
      <c r="G24" s="255"/>
      <c r="H24" s="260"/>
      <c r="I24" s="255"/>
      <c r="J24" s="255"/>
      <c r="K24" s="255"/>
      <c r="L24" s="255"/>
      <c r="M24" s="260"/>
      <c r="N24" s="255"/>
      <c r="O24" s="255"/>
    </row>
    <row r="25" spans="1:15">
      <c r="A25" s="254"/>
      <c r="B25" s="254"/>
      <c r="C25" s="262"/>
      <c r="D25" s="255"/>
      <c r="E25" s="255"/>
      <c r="F25" s="255"/>
      <c r="G25" s="255"/>
      <c r="H25" s="260"/>
      <c r="I25" s="255"/>
      <c r="J25" s="255"/>
      <c r="K25" s="255"/>
      <c r="L25" s="255"/>
      <c r="M25" s="260"/>
      <c r="N25" s="255"/>
      <c r="O25" s="255"/>
    </row>
    <row r="26" spans="1:15">
      <c r="A26" s="254"/>
      <c r="B26" s="254"/>
      <c r="C26" s="262"/>
      <c r="D26" s="255"/>
      <c r="E26" s="255"/>
      <c r="F26" s="255"/>
      <c r="G26" s="255"/>
      <c r="H26" s="260"/>
      <c r="I26" s="255"/>
      <c r="J26" s="255"/>
      <c r="K26" s="255"/>
      <c r="L26" s="255"/>
      <c r="M26" s="260"/>
      <c r="N26" s="255"/>
      <c r="O26" s="255"/>
    </row>
    <row r="27" spans="1:15">
      <c r="A27" s="254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</row>
    <row r="28" spans="1:15">
      <c r="A28" s="254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</row>
    <row r="29" spans="1:15">
      <c r="A29" s="254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</row>
    <row r="30" spans="1:15">
      <c r="A30" s="254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</row>
    <row r="31" spans="1:15">
      <c r="A31" s="254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</row>
    <row r="32" spans="1:15">
      <c r="A32" s="254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</row>
    <row r="33" spans="1:15" ht="15.75">
      <c r="A33" s="254"/>
      <c r="B33" s="256"/>
      <c r="C33" s="254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</row>
    <row r="34" spans="1:15">
      <c r="A34" s="254"/>
      <c r="B34" s="254"/>
      <c r="C34" s="255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5"/>
      <c r="O34" s="255"/>
    </row>
    <row r="35" spans="1:15">
      <c r="A35" s="254"/>
      <c r="B35" s="254"/>
      <c r="C35" s="258"/>
      <c r="D35" s="263"/>
      <c r="E35" s="261"/>
      <c r="F35" s="264"/>
      <c r="G35" s="254"/>
      <c r="H35" s="254"/>
      <c r="I35" s="254"/>
      <c r="J35" s="254"/>
      <c r="K35" s="254"/>
      <c r="L35" s="254"/>
      <c r="M35" s="254"/>
      <c r="N35" s="255"/>
      <c r="O35" s="255"/>
    </row>
    <row r="36" spans="1:15">
      <c r="A36" s="254"/>
      <c r="B36" s="254"/>
      <c r="C36" s="262"/>
      <c r="D36" s="263"/>
      <c r="E36" s="261"/>
      <c r="F36" s="254"/>
      <c r="G36" s="254"/>
      <c r="H36" s="254"/>
      <c r="I36" s="254"/>
      <c r="J36" s="254"/>
      <c r="K36" s="254"/>
      <c r="L36" s="254"/>
      <c r="M36" s="254"/>
      <c r="N36" s="255"/>
      <c r="O36" s="255"/>
    </row>
    <row r="37" spans="1:15">
      <c r="A37" s="254"/>
      <c r="B37" s="254"/>
      <c r="C37" s="262"/>
      <c r="D37" s="263"/>
      <c r="E37" s="261"/>
      <c r="F37" s="254"/>
      <c r="G37" s="254"/>
      <c r="H37" s="254"/>
      <c r="I37" s="254"/>
      <c r="J37" s="254"/>
      <c r="K37" s="254"/>
      <c r="L37" s="254"/>
      <c r="M37" s="254"/>
      <c r="N37" s="255"/>
      <c r="O37" s="255"/>
    </row>
    <row r="38" spans="1:15">
      <c r="A38" s="254"/>
      <c r="B38" s="254"/>
      <c r="C38" s="262"/>
      <c r="D38" s="263"/>
      <c r="E38" s="261"/>
      <c r="F38" s="254"/>
      <c r="G38" s="254"/>
      <c r="H38" s="254"/>
      <c r="I38" s="254"/>
      <c r="J38" s="254"/>
      <c r="K38" s="254"/>
      <c r="L38" s="254"/>
      <c r="M38" s="254"/>
      <c r="N38" s="255"/>
      <c r="O38" s="255"/>
    </row>
    <row r="39" spans="1:15">
      <c r="A39" s="254"/>
      <c r="B39" s="254"/>
      <c r="C39" s="262"/>
      <c r="D39" s="263"/>
      <c r="E39" s="261"/>
      <c r="F39" s="254"/>
      <c r="G39" s="254"/>
      <c r="H39" s="254"/>
      <c r="I39" s="254"/>
      <c r="J39" s="254"/>
      <c r="K39" s="254"/>
      <c r="L39" s="254"/>
      <c r="M39" s="254"/>
      <c r="N39" s="255"/>
      <c r="O39" s="255"/>
    </row>
    <row r="40" spans="1:15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</row>
    <row r="42" spans="1:15">
      <c r="F42" s="246"/>
      <c r="G42" s="216"/>
    </row>
    <row r="43" spans="1:15">
      <c r="F43" s="246"/>
      <c r="G43" s="246"/>
    </row>
    <row r="44" spans="1:15">
      <c r="F44" s="246"/>
      <c r="G44" s="246"/>
    </row>
    <row r="45" spans="1:15">
      <c r="D45" s="5"/>
      <c r="F45" s="246"/>
      <c r="G45" s="246"/>
    </row>
    <row r="46" spans="1:15">
      <c r="D46" s="5"/>
    </row>
    <row r="47" spans="1:15">
      <c r="D47" s="5"/>
    </row>
    <row r="48" spans="1:15">
      <c r="D48" s="5"/>
    </row>
    <row r="49" spans="4:4">
      <c r="D49" s="5"/>
    </row>
  </sheetData>
  <pageMargins left="0.4375" right="0.125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32"/>
  <sheetViews>
    <sheetView view="pageLayout" topLeftCell="A15" workbookViewId="0">
      <selection activeCell="H20" sqref="H20"/>
    </sheetView>
  </sheetViews>
  <sheetFormatPr defaultRowHeight="15"/>
  <cols>
    <col min="3" max="3" width="9.140625" style="66"/>
    <col min="4" max="4" width="10.28515625" bestFit="1" customWidth="1"/>
    <col min="5" max="5" width="12.7109375" bestFit="1" customWidth="1"/>
    <col min="6" max="6" width="10.42578125" customWidth="1"/>
    <col min="10" max="10" width="7.140625" customWidth="1"/>
    <col min="11" max="11" width="5.5703125" customWidth="1"/>
  </cols>
  <sheetData>
    <row r="1" spans="5:5">
      <c r="E1" s="66" t="s">
        <v>115</v>
      </c>
    </row>
    <row r="7" spans="5:5" ht="18.75">
      <c r="E7" s="116" t="s">
        <v>140</v>
      </c>
    </row>
    <row r="18" spans="2:9">
      <c r="B18" s="66" t="s">
        <v>124</v>
      </c>
      <c r="C18" s="66" t="str">
        <f>COMPLEX('1.2'!F21,'1.2'!F23,"j")</f>
        <v>32+15,36j</v>
      </c>
      <c r="D18" s="66" t="s">
        <v>124</v>
      </c>
      <c r="E18" s="41">
        <f>IMABS(C18)</f>
        <v>35.495487037086839</v>
      </c>
      <c r="G18" s="5" t="s">
        <v>44</v>
      </c>
    </row>
    <row r="20" spans="2:9">
      <c r="C20" s="66" t="s">
        <v>124</v>
      </c>
      <c r="D20" t="str">
        <f>IMSUM(C18,IMPRODUCT(E24,10^-6))</f>
        <v>32,0000001322405+15,3600029103332j</v>
      </c>
      <c r="F20" s="71" t="s">
        <v>139</v>
      </c>
    </row>
    <row r="22" spans="2:9">
      <c r="C22" s="66" t="s">
        <v>124</v>
      </c>
      <c r="D22" t="str">
        <f>IMDIV(COMPLEX(PRODUCT('параметры тр-ров'!J11,10^-6),PRODUCT('параметры тр-ров'!M11,10^-6),"j"),2)</f>
        <v>0,00000127+0,00002795j</v>
      </c>
      <c r="F22" s="43" t="s">
        <v>316</v>
      </c>
    </row>
    <row r="24" spans="2:9">
      <c r="D24" s="66" t="s">
        <v>124</v>
      </c>
      <c r="E24" t="str">
        <f>IMPRODUCT(IMDIV(IMPOWER(E18,2),IMPOWER('1.1'!G7,2)),IMPRODUCT(D22,10^3),10^3)</f>
        <v>0,132240544793388+2,91033324958676j</v>
      </c>
      <c r="H24" s="41">
        <f>IMABS(E24)</f>
        <v>2.9133360920665301</v>
      </c>
      <c r="I24" t="s">
        <v>137</v>
      </c>
    </row>
    <row r="25" spans="2:9">
      <c r="D25" s="66"/>
      <c r="E25" s="190">
        <f>IMREAL(E24)</f>
        <v>0.13224054479338801</v>
      </c>
    </row>
    <row r="28" spans="2:9">
      <c r="C28" s="66" t="s">
        <v>124</v>
      </c>
      <c r="D28" t="str">
        <f>IMSUM(D20,IMPRODUCT(2,COMPLEX(IMPRODUCT('параметры тр-ров'!H11,POWER(10,-3)),(IMPRODUCT('параметры тр-ров'!I11,POWER(10,-3))),"j")))</f>
        <v>32,0540001322405+15,7100029103332j</v>
      </c>
      <c r="G28" s="66" t="s">
        <v>124</v>
      </c>
      <c r="H28" s="41">
        <f>IMABS(D28)</f>
        <v>35.696822210392227</v>
      </c>
      <c r="I28" t="s">
        <v>44</v>
      </c>
    </row>
    <row r="30" spans="2:9">
      <c r="G30" s="66"/>
      <c r="H30" s="114"/>
    </row>
    <row r="31" spans="2:9" ht="18.75">
      <c r="E31" s="116" t="s">
        <v>141</v>
      </c>
    </row>
    <row r="34" spans="2:6">
      <c r="C34" s="66" t="s">
        <v>124</v>
      </c>
      <c r="D34" s="41">
        <f>(PRODUCT(H28,POWER(10,3)))/(PRODUCT(SQRT(3),'1.1'!G7,2))</f>
        <v>93.67986323810986</v>
      </c>
      <c r="E34" t="s">
        <v>126</v>
      </c>
    </row>
    <row r="36" spans="2:6" ht="15.75">
      <c r="B36">
        <v>1.1000000000000001</v>
      </c>
      <c r="C36" s="113" t="s">
        <v>125</v>
      </c>
    </row>
    <row r="38" spans="2:6">
      <c r="C38" s="115">
        <f>D34/B36</f>
        <v>85.163512034645322</v>
      </c>
      <c r="D38" s="117" t="str">
        <f>IF(C38&gt;=F40,"             -   условие короны выполняется","             -   УСЛОВИЕ КОРОНЫ НЕ ВЫПОЛНЯЕТСЯ")</f>
        <v xml:space="preserve">             -   условие короны выполняется</v>
      </c>
    </row>
    <row r="40" spans="2:6" ht="15.75">
      <c r="B40" t="s">
        <v>127</v>
      </c>
      <c r="F40" s="5">
        <v>70</v>
      </c>
    </row>
    <row r="42" spans="2:6">
      <c r="B42" t="s">
        <v>128</v>
      </c>
    </row>
    <row r="44" spans="2:6" ht="15.75">
      <c r="B44" t="s">
        <v>129</v>
      </c>
      <c r="C44"/>
      <c r="D44" s="66"/>
      <c r="E44" s="5">
        <v>330</v>
      </c>
      <c r="F44" t="s">
        <v>126</v>
      </c>
    </row>
    <row r="46" spans="2:6">
      <c r="D46" s="41">
        <f>PRODUCT(H28,POWER(10,3))/PRODUCT(SQRT(3),'1.3'!I25)</f>
        <v>187.35972647621972</v>
      </c>
      <c r="E46" t="s">
        <v>126</v>
      </c>
    </row>
    <row r="48" spans="2:6" ht="15.75">
      <c r="B48" t="s">
        <v>130</v>
      </c>
      <c r="E48" s="117" t="str">
        <f>IF(D46&lt;=E44," -   выполняется","-   НЕ ВЫПОЛНЯЕТСЯ")</f>
        <v xml:space="preserve"> -   выполняется</v>
      </c>
    </row>
    <row r="52" spans="2:6">
      <c r="B52" t="s">
        <v>131</v>
      </c>
    </row>
    <row r="54" spans="2:6">
      <c r="E54">
        <v>0.30099999999999999</v>
      </c>
      <c r="F54" t="s">
        <v>132</v>
      </c>
    </row>
    <row r="55" spans="2:6">
      <c r="E55">
        <v>0.434</v>
      </c>
      <c r="F55" t="s">
        <v>132</v>
      </c>
    </row>
    <row r="56" spans="2:6">
      <c r="E56">
        <v>2.6110000000000002</v>
      </c>
      <c r="F56" t="s">
        <v>133</v>
      </c>
    </row>
    <row r="58" spans="2:6">
      <c r="E58">
        <f>(PRODUCT(E54,'1.1'!F104)/2)</f>
        <v>4.2139999999999995</v>
      </c>
      <c r="F58" t="s">
        <v>134</v>
      </c>
    </row>
    <row r="60" spans="2:6">
      <c r="E60" s="118">
        <f>(PRODUCT(E55,30.3)/2)</f>
        <v>6.5750999999999999</v>
      </c>
      <c r="F60" t="s">
        <v>134</v>
      </c>
    </row>
    <row r="62" spans="2:6">
      <c r="E62" s="118">
        <f>('1.3'!I25^2)*(E56*10^-6)*'1.1'!F104</f>
        <v>0.88460680000000003</v>
      </c>
      <c r="F62" t="s">
        <v>43</v>
      </c>
    </row>
    <row r="65" spans="2:9">
      <c r="B65" t="s">
        <v>135</v>
      </c>
    </row>
    <row r="67" spans="2:9">
      <c r="D67" t="str">
        <f>IMSUM(D28,COMPLEX(0,-E62,"j"))</f>
        <v>32,0540001322405+14,8253961103332j</v>
      </c>
      <c r="G67" s="187" t="s">
        <v>124</v>
      </c>
      <c r="H67" s="41">
        <f>IMABS(D67)</f>
        <v>35.316445097234194</v>
      </c>
      <c r="I67" s="5" t="s">
        <v>44</v>
      </c>
    </row>
    <row r="69" spans="2:9">
      <c r="B69" t="s">
        <v>136</v>
      </c>
    </row>
    <row r="71" spans="2:9">
      <c r="D71" t="str">
        <f>IMSUM(D73,COMPLEX(0,-E62,"j"))</f>
        <v>32,0540003494272+13,9407896492093j</v>
      </c>
    </row>
    <row r="73" spans="2:9">
      <c r="D73" t="str">
        <f>IMSUM(D67,IMPRODUCT(E75,10^-6))</f>
        <v>32,0540003494272+14,8253964492093j</v>
      </c>
      <c r="I73" s="5" t="s">
        <v>44</v>
      </c>
    </row>
    <row r="75" spans="2:9">
      <c r="E75" t="str">
        <f>IMPRODUCT(IMDIV(IMPOWER(H67,2),IMPOWER('1.1'!G7,2)),IMDIV(COMPLEX(PRODUCT(E58,10^-3),PRODUCT(E60,10^-3),"j"),2),10^3)</f>
        <v>0,21718665100022+0,338876115090542j</v>
      </c>
      <c r="H75" s="317">
        <f>IMABS(E75)</f>
        <v>0.40250100962798796</v>
      </c>
      <c r="I75" s="5" t="s">
        <v>137</v>
      </c>
    </row>
    <row r="76" spans="2:9">
      <c r="E76" s="190">
        <f>IMREAL(E75)</f>
        <v>0.21718665100022</v>
      </c>
    </row>
    <row r="78" spans="2:9" ht="18.75">
      <c r="E78" s="116" t="s">
        <v>142</v>
      </c>
    </row>
    <row r="89" spans="2:9">
      <c r="B89" s="66" t="s">
        <v>124</v>
      </c>
      <c r="C89" s="66" t="str">
        <f>COMPLEX('1.2'!F29,'1.2'!F31,"j")</f>
        <v>18+8,28j</v>
      </c>
      <c r="D89" s="66" t="s">
        <v>124</v>
      </c>
      <c r="E89" s="41">
        <f>IMABS(C89)</f>
        <v>19.813086584376499</v>
      </c>
      <c r="F89" s="5" t="s">
        <v>44</v>
      </c>
    </row>
    <row r="91" spans="2:9">
      <c r="C91" s="66" t="s">
        <v>124</v>
      </c>
      <c r="D91" t="str">
        <f>IMSUM(C89,IMPRODUCT(E95,10^-6))</f>
        <v>18,0000000710498+8,28000140639724j</v>
      </c>
      <c r="I91" s="130" t="s">
        <v>44</v>
      </c>
    </row>
    <row r="93" spans="2:9">
      <c r="C93" s="66" t="s">
        <v>124</v>
      </c>
      <c r="D93" t="str">
        <f>IMDIV(COMPLEX(PRODUCT('параметры тр-ров'!J12,10^-6),PRODUCT('параметры тр-ров'!M12,10^-6),"j"),2)</f>
        <v>0,00000219+0,00004335j</v>
      </c>
      <c r="F93" s="43" t="s">
        <v>317</v>
      </c>
    </row>
    <row r="95" spans="2:9">
      <c r="D95" s="66" t="s">
        <v>124</v>
      </c>
      <c r="E95" t="str">
        <f>IMPRODUCT(IMDIV(IMPOWER(E89,2),IMPOWER('1.1'!G7,2)),IMPRODUCT(D93,10^3),10^3)</f>
        <v>0,0710498261157025+1,40639724297521j</v>
      </c>
      <c r="H95" s="41">
        <f>IMABS(E95)</f>
        <v>1.4081907835372818</v>
      </c>
      <c r="I95" t="s">
        <v>137</v>
      </c>
    </row>
    <row r="96" spans="2:9">
      <c r="D96" s="66"/>
      <c r="E96" s="190">
        <f>IMREAL(E95)</f>
        <v>7.10498261157025E-2</v>
      </c>
    </row>
    <row r="99" spans="2:9">
      <c r="C99" s="66" t="s">
        <v>124</v>
      </c>
      <c r="D99" t="str">
        <f>IMSUM(D91,IMPRODUCT(2,COMPLEX(IMPRODUCT('параметры тр-ров'!H12,10^-3),(IMPRODUCT('параметры тр-ров'!I12,10^-3)),"j")))</f>
        <v>18,0380000710498+8,50400140639724j</v>
      </c>
      <c r="G99" s="66"/>
      <c r="H99" s="41">
        <f>IMABS(D99)</f>
        <v>19.942103361561411</v>
      </c>
      <c r="I99" t="s">
        <v>44</v>
      </c>
    </row>
    <row r="101" spans="2:9">
      <c r="G101" s="66"/>
      <c r="H101" s="114"/>
    </row>
    <row r="102" spans="2:9" ht="18.75">
      <c r="E102" s="116" t="s">
        <v>166</v>
      </c>
    </row>
    <row r="105" spans="2:9">
      <c r="C105" s="66" t="s">
        <v>124</v>
      </c>
      <c r="D105" s="41">
        <f>(PRODUCT(H99,POWER(10,3)))/(PRODUCT(SQRT(3),'1.1'!G7,2))</f>
        <v>52.334448836385555</v>
      </c>
      <c r="E105" t="s">
        <v>126</v>
      </c>
    </row>
    <row r="107" spans="2:9" ht="15.75">
      <c r="B107">
        <v>1.1000000000000001</v>
      </c>
      <c r="C107" s="113" t="s">
        <v>125</v>
      </c>
    </row>
    <row r="109" spans="2:9">
      <c r="C109" s="115">
        <f>D105/B107</f>
        <v>47.576771669441406</v>
      </c>
      <c r="D109" s="117" t="str">
        <f>IF(C109&gt;=F111,"             -   условие короны выполняется","             -   УСЛОВИЕ КОРОНЫ НЕ ВЫПОЛНЯЕТСЯ")</f>
        <v xml:space="preserve">             -   УСЛОВИЕ КОРОНЫ НЕ ВЫПОЛНЯЕТСЯ</v>
      </c>
    </row>
    <row r="111" spans="2:9" ht="15.75">
      <c r="B111" t="s">
        <v>127</v>
      </c>
      <c r="F111" s="5">
        <v>70</v>
      </c>
    </row>
    <row r="113" spans="2:6">
      <c r="B113" t="s">
        <v>143</v>
      </c>
    </row>
    <row r="115" spans="2:6" ht="15.75">
      <c r="B115" t="s">
        <v>129</v>
      </c>
      <c r="C115"/>
      <c r="D115" s="66"/>
      <c r="E115" s="5">
        <v>265</v>
      </c>
      <c r="F115" t="s">
        <v>126</v>
      </c>
    </row>
    <row r="117" spans="2:6">
      <c r="D117" s="41">
        <f>PRODUCT(H99,POWER(10,3)/PRODUCT(SQRT(3),'1.3'!I28))</f>
        <v>104.66889767277112</v>
      </c>
      <c r="E117" t="s">
        <v>126</v>
      </c>
    </row>
    <row r="119" spans="2:6" ht="15.75">
      <c r="B119" t="s">
        <v>130</v>
      </c>
      <c r="E119" s="117" t="str">
        <f>IF(D117&lt;=E115," -   выполняется","-   НЕ ВЫПОЛНЯЕТСЯ")</f>
        <v xml:space="preserve"> -   выполняется</v>
      </c>
    </row>
    <row r="123" spans="2:6">
      <c r="B123" t="s">
        <v>144</v>
      </c>
    </row>
    <row r="125" spans="2:6">
      <c r="E125">
        <v>0.42199999999999999</v>
      </c>
      <c r="F125" t="s">
        <v>132</v>
      </c>
    </row>
    <row r="126" spans="2:6">
      <c r="E126">
        <v>0.44400000000000001</v>
      </c>
      <c r="F126" t="s">
        <v>132</v>
      </c>
    </row>
    <row r="127" spans="2:6">
      <c r="E127">
        <v>2.5470000000000002</v>
      </c>
      <c r="F127" t="s">
        <v>133</v>
      </c>
    </row>
    <row r="129" spans="2:10">
      <c r="E129">
        <f>(PRODUCT(E125,'1.1'!G104)/2)</f>
        <v>5.9079999999999995</v>
      </c>
      <c r="F129" t="s">
        <v>134</v>
      </c>
    </row>
    <row r="131" spans="2:10">
      <c r="E131" s="118">
        <f>PRODUCT(E126,'1.1'!G104)/2</f>
        <v>6.2160000000000002</v>
      </c>
      <c r="F131" t="s">
        <v>134</v>
      </c>
    </row>
    <row r="133" spans="2:10">
      <c r="E133" s="118">
        <f>('1.3'!I28^2)*(E127*10^-6)*'1.1'!G104</f>
        <v>0.8629235999999999</v>
      </c>
      <c r="F133" t="s">
        <v>43</v>
      </c>
    </row>
    <row r="136" spans="2:10">
      <c r="B136" t="s">
        <v>135</v>
      </c>
    </row>
    <row r="138" spans="2:10">
      <c r="D138" t="str">
        <f>IMSUM(D99,COMPLEX(0,-E133,"j"))</f>
        <v>18,0380000710498+7,64107780639724j</v>
      </c>
      <c r="H138" s="186" t="s">
        <v>124</v>
      </c>
      <c r="I138" s="41">
        <f>IMABS(D138)</f>
        <v>19.589678828572179</v>
      </c>
      <c r="J138" s="5" t="s">
        <v>44</v>
      </c>
    </row>
    <row r="140" spans="2:10">
      <c r="B140" t="s">
        <v>136</v>
      </c>
    </row>
    <row r="142" spans="2:10">
      <c r="D142" t="str">
        <f>IMSUM(D144,COMPLEX(0,-E133,"j"))</f>
        <v>18,0380001647369+6,77815430496849j</v>
      </c>
    </row>
    <row r="144" spans="2:10">
      <c r="D144" t="str">
        <f>IMSUM(D138,IMPRODUCT(E146,10^-6))</f>
        <v>18,0380001647369+7,64107790496849j</v>
      </c>
      <c r="J144" s="5" t="s">
        <v>44</v>
      </c>
    </row>
    <row r="146" spans="5:10">
      <c r="E146" t="str">
        <f>IMPRODUCT(IMDIV(IMPOWER(I138,2),IMPOWER('1.3'!I28,2)),IMDIV(COMPLEX(PRODUCT(E129,10^-3),PRODUCT(E131,10^-3),"j"),2),10^3)</f>
        <v>0,0936870905831341+0,0985712517035818j</v>
      </c>
      <c r="I146" s="118">
        <f>IMABS(E146)</f>
        <v>0.13599103869131693</v>
      </c>
      <c r="J146" s="5" t="s">
        <v>137</v>
      </c>
    </row>
    <row r="147" spans="5:10">
      <c r="E147" s="190">
        <f>IMREAL(E146)</f>
        <v>9.3687090583134097E-2</v>
      </c>
    </row>
    <row r="151" spans="5:10" ht="18.75">
      <c r="E151" s="116" t="s">
        <v>145</v>
      </c>
    </row>
    <row r="162" spans="2:10">
      <c r="B162" s="66" t="s">
        <v>124</v>
      </c>
      <c r="C162" s="66" t="str">
        <f>COMPLEX('1.2'!F37,'1.2'!F39,"j")</f>
        <v>10+4,7j</v>
      </c>
      <c r="D162" s="66" t="s">
        <v>124</v>
      </c>
      <c r="E162" s="41">
        <f>IMABS(C162)</f>
        <v>11.04943437466371</v>
      </c>
      <c r="F162" s="5" t="s">
        <v>44</v>
      </c>
    </row>
    <row r="164" spans="2:10">
      <c r="C164" s="66" t="s">
        <v>124</v>
      </c>
      <c r="D164" t="str">
        <f>IMSUM(C162,IMPRODUCT(E168,10^-6))</f>
        <v>10,0000000401081+4,70000070126074j</v>
      </c>
      <c r="H164" s="186" t="s">
        <v>124</v>
      </c>
      <c r="I164" s="41">
        <f>IMABS(D164)</f>
        <v>11.049434709251575</v>
      </c>
      <c r="J164" s="71" t="s">
        <v>44</v>
      </c>
    </row>
    <row r="166" spans="2:10">
      <c r="C166" s="66" t="s">
        <v>124</v>
      </c>
      <c r="D166" t="str">
        <f>IMDIV(COMPLEX(PRODUCT('параметры тр-ров'!J13,10^-6),PRODUCT('параметры тр-ров'!M13,10^-6),"j"),2)</f>
        <v>0,000003975+0,0000695j</v>
      </c>
      <c r="F166" s="43" t="s">
        <v>317</v>
      </c>
    </row>
    <row r="168" spans="2:10">
      <c r="D168" s="66" t="s">
        <v>124</v>
      </c>
      <c r="E168" t="str">
        <f>IMPRODUCT(IMDIV(IMPOWER(E162,2),IMPOWER('1.3'!I31,2)),IMPRODUCT(D166,10^3),10^3)</f>
        <v>0,0401080785123967+0,701260743801653j</v>
      </c>
      <c r="I168" s="317">
        <f>IMABS(E168)</f>
        <v>0.70240678296782133</v>
      </c>
      <c r="J168" t="s">
        <v>137</v>
      </c>
    </row>
    <row r="169" spans="2:10">
      <c r="D169" s="66"/>
      <c r="E169" s="190">
        <f>IMREAL(E168)</f>
        <v>4.01080785123967E-2</v>
      </c>
    </row>
    <row r="172" spans="2:10">
      <c r="C172" s="66" t="s">
        <v>124</v>
      </c>
      <c r="D172" t="str">
        <f>IMSUM(D164,IMPRODUCT(2,COMPLEX(IMPRODUCT('параметры тр-ров'!H13,10^-3),(IMPRODUCT('параметры тр-ров'!I13,10^-3)),"j")))</f>
        <v>10,0280000401081+4,84000070126074j</v>
      </c>
      <c r="G172" s="66"/>
      <c r="H172" s="41">
        <f>IMABS(D172)</f>
        <v>11.134917673364834</v>
      </c>
      <c r="I172" t="s">
        <v>44</v>
      </c>
    </row>
    <row r="174" spans="2:10">
      <c r="G174" s="66"/>
      <c r="H174" s="114"/>
    </row>
    <row r="175" spans="2:10" ht="18.75">
      <c r="E175" s="116" t="s">
        <v>141</v>
      </c>
    </row>
    <row r="178" spans="2:6">
      <c r="C178" s="66" t="s">
        <v>124</v>
      </c>
      <c r="D178" s="41">
        <f>(PRODUCT(H172,POWER(10,3)))/(PRODUCT(SQRT(3),'1.3'!I31,2))</f>
        <v>29.22158052782504</v>
      </c>
      <c r="E178" t="s">
        <v>126</v>
      </c>
    </row>
    <row r="180" spans="2:6" ht="15.75">
      <c r="B180">
        <v>1.1000000000000001</v>
      </c>
      <c r="C180" s="113" t="s">
        <v>125</v>
      </c>
    </row>
    <row r="182" spans="2:6">
      <c r="C182" s="115">
        <f>D178/B180</f>
        <v>26.56507320711367</v>
      </c>
      <c r="D182" s="117" t="str">
        <f>IF(C182&gt;=F184,"             -   условие короны выполняется","             -   УСЛОВИЕ КОРОНЫ НЕ ВЫПОЛНЯЕТСЯ")</f>
        <v xml:space="preserve">             -   УСЛОВИЕ КОРОНЫ НЕ ВЫПОЛНЯЕТСЯ</v>
      </c>
    </row>
    <row r="184" spans="2:6" ht="15.75">
      <c r="B184" t="s">
        <v>127</v>
      </c>
      <c r="F184" s="5">
        <v>70</v>
      </c>
    </row>
    <row r="186" spans="2:6">
      <c r="B186" t="s">
        <v>143</v>
      </c>
    </row>
    <row r="188" spans="2:6" ht="15.75">
      <c r="B188" t="s">
        <v>129</v>
      </c>
      <c r="C188"/>
      <c r="D188" s="66"/>
      <c r="E188" s="5">
        <v>265</v>
      </c>
      <c r="F188" t="s">
        <v>126</v>
      </c>
    </row>
    <row r="190" spans="2:6">
      <c r="D190" s="41">
        <f>PRODUCT(H172,POWER(10,3)/PRODUCT(SQRT(3),'1.3'!I31))</f>
        <v>58.44316105565008</v>
      </c>
      <c r="E190" t="s">
        <v>126</v>
      </c>
    </row>
    <row r="192" spans="2:6" ht="15.75">
      <c r="B192" t="s">
        <v>130</v>
      </c>
      <c r="E192" s="117" t="str">
        <f>IF(D190&lt;=E188," -   выполняется","-   НЕ ВЫПОЛНЯЕТСЯ")</f>
        <v xml:space="preserve"> -   выполняется</v>
      </c>
    </row>
    <row r="196" spans="2:6">
      <c r="B196" t="s">
        <v>144</v>
      </c>
    </row>
    <row r="198" spans="2:6">
      <c r="E198">
        <v>0.42199999999999999</v>
      </c>
      <c r="F198" t="s">
        <v>132</v>
      </c>
    </row>
    <row r="199" spans="2:6">
      <c r="E199">
        <v>0.44400000000000001</v>
      </c>
      <c r="F199" t="s">
        <v>132</v>
      </c>
    </row>
    <row r="200" spans="2:6">
      <c r="E200">
        <v>2.5470000000000002</v>
      </c>
      <c r="F200" t="s">
        <v>133</v>
      </c>
    </row>
    <row r="202" spans="2:6">
      <c r="E202">
        <f>(PRODUCT(E198,'1.1'!H104)/2)</f>
        <v>6.1189999999999998</v>
      </c>
      <c r="F202" t="s">
        <v>134</v>
      </c>
    </row>
    <row r="204" spans="2:6">
      <c r="E204" s="118">
        <f>PRODUCT(E199,'1.1'!H104)/2</f>
        <v>6.4379999999999997</v>
      </c>
      <c r="F204" t="s">
        <v>134</v>
      </c>
    </row>
    <row r="206" spans="2:6">
      <c r="E206" s="118">
        <f>('1.3'!I31^2)*(E200*10^-6)*'1.1'!H104</f>
        <v>0.89374229999999988</v>
      </c>
      <c r="F206" t="s">
        <v>43</v>
      </c>
    </row>
    <row r="209" spans="2:10">
      <c r="B209" t="s">
        <v>135</v>
      </c>
    </row>
    <row r="211" spans="2:10">
      <c r="D211" t="str">
        <f>IMSUM(D172,COMPLEX(0,-E206,"j"))</f>
        <v>10,0280000401081+3,94625840126074j</v>
      </c>
      <c r="H211" s="186" t="s">
        <v>124</v>
      </c>
      <c r="I211" s="41">
        <f>IMABS(D211)</f>
        <v>10.776536557444095</v>
      </c>
      <c r="J211" s="5" t="s">
        <v>44</v>
      </c>
    </row>
    <row r="213" spans="2:10">
      <c r="B213" t="s">
        <v>136</v>
      </c>
    </row>
    <row r="215" spans="2:10">
      <c r="D215" t="str">
        <f>IMSUM(D217,COMPLEX(0,-E206,"j"))</f>
        <v>11,0279968847746+3,05251691205504j</v>
      </c>
    </row>
    <row r="217" spans="2:10">
      <c r="D217" t="str">
        <f>IMSUM(D211,IMPOWER(E219,10^-6))</f>
        <v>11,0279968847746+3,94625921205504j</v>
      </c>
      <c r="J217" s="5" t="s">
        <v>44</v>
      </c>
    </row>
    <row r="219" spans="2:10">
      <c r="E219" t="str">
        <f>IMPRODUCT(IMDIV(IMPOWER(I211,2),IMPOWER('1.3'!I31,2)),IMDIV(COMPLEX(PRODUCT(E202,10^-3),PRODUCT(E204,10^-3),"j"),2),10^3)</f>
        <v>0,0293645601704244+0,0308954140181717j</v>
      </c>
      <c r="I219" s="118">
        <f>IMABS(E219)</f>
        <v>4.2623983874770732E-2</v>
      </c>
      <c r="J219" s="5" t="s">
        <v>137</v>
      </c>
    </row>
    <row r="220" spans="2:10">
      <c r="E220" s="190">
        <f>IMREAL(E219)</f>
        <v>2.9364560170424402E-2</v>
      </c>
    </row>
    <row r="222" spans="2:10" ht="18.75">
      <c r="E222" s="116" t="s">
        <v>146</v>
      </c>
    </row>
    <row r="228" spans="1:4">
      <c r="A228" s="5"/>
      <c r="D228" s="5"/>
    </row>
    <row r="236" spans="1:4" ht="15.75">
      <c r="B236" s="119" t="s">
        <v>147</v>
      </c>
    </row>
    <row r="239" spans="1:4">
      <c r="B239" s="66" t="s">
        <v>124</v>
      </c>
      <c r="C239"/>
      <c r="D239" s="5"/>
    </row>
    <row r="241" spans="2:10">
      <c r="C241" s="71" t="str">
        <f>IMSUM(D217,D144,D73)</f>
        <v>61,1199973989387+26,4127335662328j</v>
      </c>
      <c r="G241" t="s">
        <v>124</v>
      </c>
      <c r="H241" s="41">
        <f>IMABS(C241)</f>
        <v>66.582930068352155</v>
      </c>
      <c r="J241" t="s">
        <v>44</v>
      </c>
    </row>
    <row r="242" spans="2:10">
      <c r="H242" s="41"/>
    </row>
    <row r="243" spans="2:10">
      <c r="E243" t="str">
        <f>IMSUM(C241,IMPRODUCT(E247,10^-6),COMPLEX('1.1'!F10,'1.1'!F10*'1.1'!G10,"j"))</f>
        <v>102,119997422754+46,9127335662328j</v>
      </c>
      <c r="H243" s="41"/>
      <c r="J243" s="71" t="s">
        <v>44</v>
      </c>
    </row>
    <row r="244" spans="2:10">
      <c r="H244" s="41"/>
    </row>
    <row r="245" spans="2:10">
      <c r="C245" s="66" t="s">
        <v>124</v>
      </c>
      <c r="D245" t="str">
        <f>IMDIV(COMPLEX(PRODUCT('параметры тр-ров'!K9,10^-6),PRODUCT('параметры тр-ров'!N9,10^-6),"j"),2)</f>
        <v>0,00000026</v>
      </c>
      <c r="F245" s="43" t="s">
        <v>317</v>
      </c>
    </row>
    <row r="247" spans="2:10">
      <c r="D247" s="66" t="s">
        <v>124</v>
      </c>
      <c r="E247" t="str">
        <f>IMPRODUCT(IMDIV(IMPOWER(H241,2),IMPOWER('1.3'!I21,2)),IMPRODUCT(D245,10^3),10^3)</f>
        <v>0,0238151758241041</v>
      </c>
      <c r="I247" s="316">
        <f>IMABS(E247)</f>
        <v>2.3815175824104098E-2</v>
      </c>
      <c r="J247" t="s">
        <v>137</v>
      </c>
    </row>
    <row r="248" spans="2:10">
      <c r="D248" s="66"/>
      <c r="E248" s="190">
        <f>IMREAL(E247)</f>
        <v>2.3815175824104098E-2</v>
      </c>
    </row>
    <row r="251" spans="2:10">
      <c r="C251" s="66" t="s">
        <v>124</v>
      </c>
      <c r="D251" t="str">
        <f>IMSUM(E243,IMPRODUCT(2,COMPLEX(IMPRODUCT('параметры тр-ров'!H9,POWER(10,-3)),(IMPRODUCT('параметры тр-ров'!I9,POWER(10,-3))),"j")))</f>
        <v>102,249997422754+48,1627335662328j</v>
      </c>
      <c r="G251" s="66"/>
      <c r="H251" s="41">
        <f>IMABS(D251)</f>
        <v>113.02526654480904</v>
      </c>
      <c r="I251" t="s">
        <v>44</v>
      </c>
    </row>
    <row r="253" spans="2:10">
      <c r="G253" s="66"/>
      <c r="H253" s="114"/>
    </row>
    <row r="254" spans="2:10" ht="15.75">
      <c r="B254" s="119" t="s">
        <v>148</v>
      </c>
    </row>
    <row r="257" spans="2:10">
      <c r="B257" s="66" t="s">
        <v>124</v>
      </c>
      <c r="C257" s="66" t="str">
        <f>COMPLEX('1.1'!J10,'1.1'!J10*'1.1'!K10,"j")</f>
        <v>24+12j</v>
      </c>
      <c r="D257" s="5" t="s">
        <v>124</v>
      </c>
      <c r="E257" s="41">
        <f>IMABS(C257)</f>
        <v>26.832815729997478</v>
      </c>
      <c r="G257" t="s">
        <v>44</v>
      </c>
      <c r="J257" s="5"/>
    </row>
    <row r="259" spans="2:10">
      <c r="C259" s="66" t="s">
        <v>124</v>
      </c>
      <c r="D259" t="str">
        <f>IMSUM(C257,IMPRODUCT(E263,10^-6))</f>
        <v>24,00001152+12,0004716j</v>
      </c>
      <c r="H259" s="5" t="s">
        <v>124</v>
      </c>
      <c r="I259" s="41">
        <f>IMABS(D259)</f>
        <v>26.833036942965276</v>
      </c>
      <c r="J259" s="71" t="s">
        <v>44</v>
      </c>
    </row>
    <row r="261" spans="2:10">
      <c r="C261" s="66" t="s">
        <v>124</v>
      </c>
      <c r="D261" t="str">
        <f>IMDIV(COMPLEX(PRODUCT('параметры тр-ров'!L9,10^-6),PRODUCT('параметры тр-ров'!O9,10^-6),"j"),2)</f>
        <v>0,0000016+0,0000655j</v>
      </c>
      <c r="F261" s="43" t="s">
        <v>317</v>
      </c>
    </row>
    <row r="263" spans="2:10">
      <c r="D263" s="66" t="s">
        <v>124</v>
      </c>
      <c r="E263" t="str">
        <f>IMPRODUCT(IMDIV(IMPOWER(E257,2),IMPOWER('1.1'!K7,2)),IMPRODUCT(D261,10^3),10^3)</f>
        <v>11,52+471,6j</v>
      </c>
      <c r="F263" s="118">
        <f>IMABS(E263)</f>
        <v>471.74068130700789</v>
      </c>
      <c r="J263" t="s">
        <v>137</v>
      </c>
    </row>
    <row r="264" spans="2:10">
      <c r="D264" s="66"/>
      <c r="E264" s="190">
        <f>IMREAL(E263)</f>
        <v>11.52</v>
      </c>
    </row>
    <row r="267" spans="2:10">
      <c r="C267" s="66" t="s">
        <v>124</v>
      </c>
      <c r="D267" t="str">
        <f>IMSUM(D259,IMPRODUCT(2,COMPLEX(IMPRODUCT('параметры тр-ров'!H107,10^-3),(IMPRODUCT('параметры тр-ров'!I107,10^-3)),"j")))</f>
        <v>24,00001152+12,0004716j</v>
      </c>
      <c r="G267" s="66" t="s">
        <v>124</v>
      </c>
      <c r="H267" s="41">
        <f>IMABS(D267)</f>
        <v>26.833036942965276</v>
      </c>
      <c r="I267" t="s">
        <v>44</v>
      </c>
    </row>
    <row r="270" spans="2:10" ht="15.75">
      <c r="B270" s="119" t="s">
        <v>149</v>
      </c>
    </row>
    <row r="273" spans="3:10">
      <c r="C273"/>
      <c r="D273" t="str">
        <f>IMSUM(C241,C257)</f>
        <v>85,1199973989387+38,4127335662328j</v>
      </c>
      <c r="H273" s="5" t="s">
        <v>124</v>
      </c>
      <c r="I273" s="41">
        <f>IMABS(D273)</f>
        <v>93.386037806653505</v>
      </c>
      <c r="J273" t="s">
        <v>44</v>
      </c>
    </row>
    <row r="275" spans="3:10">
      <c r="D275" t="str">
        <f>IMSUM(D273,IMPRODUCT(E279,10^-6),"j")</f>
        <v>85,1199974457868+39,4127379807643j</v>
      </c>
      <c r="J275" s="71" t="s">
        <v>44</v>
      </c>
    </row>
    <row r="277" spans="3:10">
      <c r="C277" s="66" t="s">
        <v>124</v>
      </c>
      <c r="D277" t="str">
        <f>IMDIV(COMPLEX(PRODUCT('параметры тр-ров'!J9,10^-6),PRODUCT('параметры тр-ров'!M9,10^-6),"j"),2)</f>
        <v>0,00000026+0,0000245j</v>
      </c>
      <c r="F277" s="43" t="s">
        <v>317</v>
      </c>
    </row>
    <row r="279" spans="3:10">
      <c r="D279" s="66" t="s">
        <v>124</v>
      </c>
      <c r="E279" t="str">
        <f>IMPRODUCT(IMDIV(IMPOWER(I273,2),IMPOWER('1.3'!I21,2)),IMPRODUCT(D277,10^3),10^3)</f>
        <v>0,0468480895636094+4,41453151657088j</v>
      </c>
      <c r="H279" s="41">
        <f>IMABS(E279)</f>
        <v>4.4147800912721973</v>
      </c>
      <c r="J279" t="s">
        <v>137</v>
      </c>
    </row>
    <row r="280" spans="3:10">
      <c r="D280" s="66"/>
      <c r="E280" s="190">
        <f>IMREAL(E279)</f>
        <v>4.6848089563609398E-2</v>
      </c>
    </row>
    <row r="283" spans="3:10">
      <c r="C283" s="66" t="s">
        <v>124</v>
      </c>
      <c r="D283" t="str">
        <f>IMSUM(D275,IMPRODUCT(2,COMPLEX(IMPRODUCT('параметры тр-ров'!H9,10^-3),(IMPRODUCT('параметры тр-ров'!I9,10^-3)),"j")))</f>
        <v>85,2499974457868+40,6627379807643j</v>
      </c>
      <c r="G283" s="66" t="s">
        <v>124</v>
      </c>
      <c r="H283" s="41">
        <f>IMABS(D283)</f>
        <v>94.451153114183569</v>
      </c>
      <c r="I283" t="s">
        <v>44</v>
      </c>
    </row>
    <row r="286" spans="3:10" ht="18.75">
      <c r="E286" s="116" t="s">
        <v>141</v>
      </c>
    </row>
    <row r="289" spans="2:7">
      <c r="C289" s="66" t="s">
        <v>124</v>
      </c>
      <c r="D289" s="41">
        <f>(PRODUCT(H283,POWER(10,3)))/(PRODUCT(SQRT(3),'1.3'!I21,2))</f>
        <v>123.9349969903283</v>
      </c>
      <c r="E289" t="s">
        <v>126</v>
      </c>
    </row>
    <row r="291" spans="2:7" ht="15.75">
      <c r="B291">
        <v>1.1000000000000001</v>
      </c>
      <c r="C291" s="113" t="s">
        <v>125</v>
      </c>
    </row>
    <row r="293" spans="2:7">
      <c r="C293" s="115">
        <f>D289/B291</f>
        <v>112.66817908211662</v>
      </c>
      <c r="D293" s="117" t="str">
        <f>IF(C293&gt;=F295,"             -   условие короны выполняется","             -   УСЛОВИЕ КОРОНЫ НЕ ВЫПОЛНЯЕТСЯ")</f>
        <v xml:space="preserve">             -   УСЛОВИЕ КОРОНЫ НЕ ВЫПОЛНЯЕТСЯ</v>
      </c>
    </row>
    <row r="295" spans="2:7" ht="15.75">
      <c r="B295" s="120" t="s">
        <v>150</v>
      </c>
      <c r="C295" s="121"/>
      <c r="D295" s="120"/>
      <c r="E295" s="120"/>
      <c r="F295" s="122">
        <v>240</v>
      </c>
      <c r="G295" s="120"/>
    </row>
    <row r="297" spans="2:7">
      <c r="B297" t="s">
        <v>151</v>
      </c>
    </row>
    <row r="299" spans="2:7" ht="15.75">
      <c r="B299" t="s">
        <v>129</v>
      </c>
      <c r="C299"/>
      <c r="D299" s="66"/>
      <c r="E299" s="5">
        <v>610</v>
      </c>
      <c r="F299" t="s">
        <v>126</v>
      </c>
    </row>
    <row r="302" spans="2:7">
      <c r="D302" s="41">
        <f>PRODUCT(H283,POWER(10,3)/PRODUCT(SQRT(3),'1.3'!I21))</f>
        <v>247.8699939806566</v>
      </c>
      <c r="E302" t="s">
        <v>126</v>
      </c>
    </row>
    <row r="304" spans="2:7" ht="15.75">
      <c r="B304" t="s">
        <v>130</v>
      </c>
      <c r="E304" s="117" t="str">
        <f>IF(D302&lt;=E299," -   выполняется","-   НЕ ВЫПОЛНЯЕТСЯ")</f>
        <v xml:space="preserve"> -   выполняется</v>
      </c>
    </row>
    <row r="308" spans="2:6">
      <c r="B308" t="s">
        <v>152</v>
      </c>
    </row>
    <row r="310" spans="2:6">
      <c r="E310">
        <v>0.11799999999999999</v>
      </c>
      <c r="F310" t="s">
        <v>132</v>
      </c>
    </row>
    <row r="311" spans="2:6">
      <c r="E311">
        <v>0.435</v>
      </c>
      <c r="F311" t="s">
        <v>132</v>
      </c>
    </row>
    <row r="312" spans="2:6">
      <c r="E312">
        <v>2.6040000000000001</v>
      </c>
      <c r="F312" t="s">
        <v>133</v>
      </c>
    </row>
    <row r="314" spans="2:6">
      <c r="E314">
        <f>(PRODUCT(E310,'1.1'!E104)/2)</f>
        <v>3.363</v>
      </c>
      <c r="F314" t="s">
        <v>134</v>
      </c>
    </row>
    <row r="316" spans="2:6">
      <c r="E316" s="118">
        <f>PRODUCT(E311,'1.1'!E104)/2</f>
        <v>12.397499999999999</v>
      </c>
      <c r="F316" t="s">
        <v>134</v>
      </c>
    </row>
    <row r="318" spans="2:6">
      <c r="E318" s="118">
        <f>('1.3'!I21^2)*(E312*10^-6)*'1.1'!E104</f>
        <v>7.1839151999999995</v>
      </c>
      <c r="F318" t="s">
        <v>43</v>
      </c>
    </row>
    <row r="321" spans="2:9">
      <c r="B321" t="s">
        <v>135</v>
      </c>
    </row>
    <row r="323" spans="2:9">
      <c r="D323" t="str">
        <f>IMSUM(H283,COMPLEX(0,-E318,"j"))</f>
        <v>94,4511531141836-7,1839152j</v>
      </c>
      <c r="G323" s="5" t="s">
        <v>124</v>
      </c>
      <c r="H323" s="118">
        <f>IMABS(D323)</f>
        <v>94.723961921995979</v>
      </c>
      <c r="I323" s="5" t="s">
        <v>44</v>
      </c>
    </row>
    <row r="325" spans="2:9">
      <c r="B325" t="s">
        <v>136</v>
      </c>
    </row>
    <row r="327" spans="2:9">
      <c r="D327" t="str">
        <f>IMSUM(D329,COMPLEX(0,-E318,"j"))</f>
        <v>94,4511534259083-14,3678292508454j</v>
      </c>
      <c r="I327" s="5" t="s">
        <v>44</v>
      </c>
    </row>
    <row r="329" spans="2:9">
      <c r="D329" t="str">
        <f>IMSUM(D323,IMPRODUCT(E331,10^-6))</f>
        <v>94,4511534259083-7,18391405084538j</v>
      </c>
      <c r="I329" s="5" t="s">
        <v>44</v>
      </c>
    </row>
    <row r="331" spans="2:9">
      <c r="E331" t="str">
        <f>IMPRODUCT(IMDIV(IMPOWER(H323,2),IMPOWER('1.3'!I21,2)),IMDIV(COMPLEX(PRODUCT(E314,10^-3),PRODUCT(E316,10^-3),"j"),2),10^3)</f>
        <v>0,311724702478076+1,14915462354206j</v>
      </c>
      <c r="H331" s="317">
        <f>IMABS(E331)</f>
        <v>1.1906841054381883</v>
      </c>
      <c r="I331" s="5" t="s">
        <v>137</v>
      </c>
    </row>
    <row r="332" spans="2:9">
      <c r="E332" s="190">
        <f>IMREAL(E331)</f>
        <v>0.31172470247807599</v>
      </c>
    </row>
  </sheetData>
  <dataConsolidate/>
  <pageMargins left="0.53442028985507251" right="0.19927536231884058" top="0.75" bottom="0.75" header="0.3" footer="0.3"/>
  <pageSetup paperSize="9" orientation="portrait" horizontalDpi="300" verticalDpi="300" r:id="rId1"/>
  <headerFooter>
    <oddHeader>&amp;C&amp;K06+039радиальная схема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3"/>
  <sheetViews>
    <sheetView view="pageLayout" topLeftCell="A18" workbookViewId="0">
      <selection activeCell="H18" sqref="H18"/>
    </sheetView>
  </sheetViews>
  <sheetFormatPr defaultRowHeight="15"/>
  <cols>
    <col min="4" max="4" width="9.5703125" bestFit="1" customWidth="1"/>
  </cols>
  <sheetData>
    <row r="1" spans="5:6">
      <c r="F1" s="44" t="s">
        <v>153</v>
      </c>
    </row>
    <row r="15" spans="5:6" ht="18.75">
      <c r="E15" s="116" t="s">
        <v>162</v>
      </c>
    </row>
    <row r="18" spans="2:9">
      <c r="D18" t="str">
        <f>'1.5'!D99</f>
        <v>18,0380000710498+8,50400140639724j</v>
      </c>
      <c r="H18" s="123">
        <f>IMABS(D18)</f>
        <v>19.942103361561411</v>
      </c>
      <c r="I18" t="s">
        <v>44</v>
      </c>
    </row>
    <row r="21" spans="2:9" ht="18.75">
      <c r="C21" s="66"/>
      <c r="E21" s="116" t="s">
        <v>141</v>
      </c>
    </row>
    <row r="22" spans="2:9">
      <c r="C22" s="66"/>
    </row>
    <row r="23" spans="2:9">
      <c r="C23" s="66"/>
    </row>
    <row r="24" spans="2:9">
      <c r="C24" s="66"/>
      <c r="D24" s="41">
        <f>(PRODUCT(H18,POWER(10,3)))/(PRODUCT(SQRT(3),'1.3'!I41))</f>
        <v>104.66889767277111</v>
      </c>
      <c r="E24" t="s">
        <v>126</v>
      </c>
    </row>
    <row r="25" spans="2:9">
      <c r="C25" s="66"/>
    </row>
    <row r="26" spans="2:9" ht="15.75">
      <c r="B26">
        <v>1.1000000000000001</v>
      </c>
      <c r="C26" s="113" t="s">
        <v>125</v>
      </c>
    </row>
    <row r="27" spans="2:9">
      <c r="C27" s="66"/>
    </row>
    <row r="28" spans="2:9">
      <c r="C28" s="115">
        <f>D24/B26</f>
        <v>95.153543338882812</v>
      </c>
      <c r="D28" s="117" t="str">
        <f>IF(C28&gt;=F30,"             -   условие короны выполняется","             -   УСЛОВИЕ КОРОНЫ НЕ ВЫПОЛНЯЕТСЯ")</f>
        <v xml:space="preserve">             -   условие короны выполняется</v>
      </c>
    </row>
    <row r="29" spans="2:9">
      <c r="C29" s="66"/>
    </row>
    <row r="30" spans="2:9" ht="15.75">
      <c r="B30" t="s">
        <v>127</v>
      </c>
      <c r="C30" s="66"/>
      <c r="F30" s="5">
        <v>70</v>
      </c>
    </row>
    <row r="31" spans="2:9">
      <c r="C31" s="66"/>
    </row>
    <row r="32" spans="2:9">
      <c r="B32" t="s">
        <v>143</v>
      </c>
      <c r="C32" s="66"/>
    </row>
    <row r="33" spans="1:6">
      <c r="C33" s="66"/>
    </row>
    <row r="34" spans="1:6" ht="15.75">
      <c r="B34" t="s">
        <v>154</v>
      </c>
      <c r="D34" s="66"/>
      <c r="E34" s="5">
        <v>265</v>
      </c>
      <c r="F34" t="s">
        <v>126</v>
      </c>
    </row>
    <row r="35" spans="1:6">
      <c r="A35" s="63"/>
      <c r="C35" s="124"/>
      <c r="D35" s="63"/>
      <c r="E35" s="63"/>
      <c r="F35" s="63"/>
    </row>
    <row r="36" spans="1:6">
      <c r="A36" s="63"/>
      <c r="B36" s="63"/>
      <c r="C36" s="124"/>
      <c r="D36" s="125">
        <f>(PRODUCT(H18,POWER(10,3))+PRODUCT(H67,POWER(10,3)))/PRODUCT(SQRT(3),'1.3'!I45)</f>
        <v>163.1120587284212</v>
      </c>
      <c r="E36" s="63" t="s">
        <v>126</v>
      </c>
      <c r="F36" s="63"/>
    </row>
    <row r="37" spans="1:6">
      <c r="A37" s="63"/>
      <c r="B37" s="63"/>
      <c r="C37" s="124"/>
      <c r="D37" s="63"/>
      <c r="E37" s="63"/>
      <c r="F37" s="63"/>
    </row>
    <row r="38" spans="1:6" ht="15.75">
      <c r="A38" s="63"/>
      <c r="B38" s="63" t="s">
        <v>155</v>
      </c>
      <c r="C38" s="63"/>
      <c r="D38" s="63"/>
      <c r="E38" s="126" t="s">
        <v>156</v>
      </c>
      <c r="F38" s="126"/>
    </row>
    <row r="39" spans="1:6">
      <c r="C39" s="66"/>
    </row>
    <row r="40" spans="1:6">
      <c r="B40" t="s">
        <v>144</v>
      </c>
      <c r="C40" s="66"/>
    </row>
    <row r="42" spans="1:6">
      <c r="C42" s="66"/>
      <c r="E42">
        <v>0.42199999999999999</v>
      </c>
      <c r="F42" t="s">
        <v>132</v>
      </c>
    </row>
    <row r="43" spans="1:6">
      <c r="C43" s="66"/>
      <c r="E43">
        <v>0.44400000000000001</v>
      </c>
      <c r="F43" t="s">
        <v>132</v>
      </c>
    </row>
    <row r="44" spans="1:6">
      <c r="C44" s="66"/>
      <c r="E44">
        <v>2.5470000000000002</v>
      </c>
      <c r="F44" t="s">
        <v>133</v>
      </c>
    </row>
    <row r="45" spans="1:6">
      <c r="C45" s="66"/>
    </row>
    <row r="46" spans="1:6">
      <c r="C46" s="66"/>
      <c r="E46">
        <f>PRODUCT(E42,'1.1'!G104)</f>
        <v>11.815999999999999</v>
      </c>
      <c r="F46" t="s">
        <v>134</v>
      </c>
    </row>
    <row r="47" spans="1:6">
      <c r="C47" s="66"/>
    </row>
    <row r="48" spans="1:6">
      <c r="C48" s="66"/>
      <c r="E48" s="118">
        <f>PRODUCT(E43,'1.1'!G104)</f>
        <v>12.432</v>
      </c>
      <c r="F48" t="s">
        <v>134</v>
      </c>
    </row>
    <row r="49" spans="2:10">
      <c r="C49" s="66"/>
    </row>
    <row r="50" spans="2:10">
      <c r="C50" s="66"/>
      <c r="E50" s="118">
        <f>('1.3'!I45^2)*(E44*10^-6)*'1.1'!G104</f>
        <v>0.8629235999999999</v>
      </c>
      <c r="F50" t="s">
        <v>43</v>
      </c>
    </row>
    <row r="51" spans="2:10">
      <c r="B51" t="s">
        <v>135</v>
      </c>
      <c r="C51" s="66"/>
    </row>
    <row r="52" spans="2:10">
      <c r="C52" s="66"/>
    </row>
    <row r="53" spans="2:10">
      <c r="C53" s="66"/>
      <c r="D53" t="str">
        <f>IMSUM(D18,COMPLEX(0,-E50/2,"j"))</f>
        <v>18,0380000710498+8,07253960639724j</v>
      </c>
      <c r="H53" s="187" t="s">
        <v>124</v>
      </c>
      <c r="I53" s="41">
        <f>IMABS(D53)</f>
        <v>19.761967064542052</v>
      </c>
      <c r="J53" s="5" t="s">
        <v>44</v>
      </c>
    </row>
    <row r="54" spans="2:10">
      <c r="C54" s="66"/>
    </row>
    <row r="55" spans="2:10">
      <c r="B55" t="s">
        <v>136</v>
      </c>
      <c r="C55" s="66"/>
    </row>
    <row r="56" spans="2:10">
      <c r="C56" s="66"/>
    </row>
    <row r="57" spans="2:10">
      <c r="C57" s="66"/>
      <c r="D57" t="str">
        <f>IMSUM(D59,COMPLEX(0,-E50,"j"))</f>
        <v>18,0380004524189+7,2096164076481j</v>
      </c>
      <c r="J57" s="5" t="s">
        <v>44</v>
      </c>
    </row>
    <row r="58" spans="2:10">
      <c r="C58" s="66"/>
    </row>
    <row r="59" spans="2:10">
      <c r="C59" s="66"/>
      <c r="D59" t="str">
        <f>IMSUM(D53,IMPRODUCT(E61,10^-6))</f>
        <v>18,0380004524189+8,0725400076481j</v>
      </c>
      <c r="J59" s="5" t="s">
        <v>44</v>
      </c>
    </row>
    <row r="60" spans="2:10">
      <c r="C60" s="66"/>
    </row>
    <row r="61" spans="2:10">
      <c r="C61" s="66"/>
      <c r="E61" t="str">
        <f>IMPRODUCT(IMDIV(IMPOWER(I53,2),IMPOWER('1.3'!I41,2)),(COMPLEX(PRODUCT(E46,10^-3),PRODUCT(E48,10^-3),"j")),10^3)</f>
        <v>0,381369058193776+0,401250857436106j</v>
      </c>
      <c r="I61" s="317">
        <f>IMABS(E61)</f>
        <v>0.55357439350173887</v>
      </c>
      <c r="J61" s="5" t="s">
        <v>137</v>
      </c>
    </row>
    <row r="62" spans="2:10">
      <c r="C62" s="66"/>
      <c r="E62" s="190">
        <f>IMREAL(E61)</f>
        <v>0.38136905819377598</v>
      </c>
    </row>
    <row r="64" spans="2:10" ht="18.75">
      <c r="E64" s="116" t="s">
        <v>161</v>
      </c>
    </row>
    <row r="67" spans="2:9">
      <c r="D67" t="str">
        <f>'1.5'!D172</f>
        <v>10,0280000401081+4,84000070126074j</v>
      </c>
      <c r="H67" s="123">
        <f>IMABS(D67)</f>
        <v>11.134917673364834</v>
      </c>
      <c r="I67" t="s">
        <v>44</v>
      </c>
    </row>
    <row r="70" spans="2:9" ht="18.75">
      <c r="C70" s="66"/>
      <c r="E70" s="116" t="s">
        <v>141</v>
      </c>
    </row>
    <row r="71" spans="2:9">
      <c r="C71" s="66"/>
    </row>
    <row r="72" spans="2:9">
      <c r="C72" s="66"/>
    </row>
    <row r="73" spans="2:9">
      <c r="C73" s="66"/>
      <c r="D73" s="41">
        <f>(PRODUCT(H67,POWER(10,3)))/(PRODUCT(SQRT(3),'1.3'!I45))</f>
        <v>58.44316105565008</v>
      </c>
      <c r="E73" t="s">
        <v>126</v>
      </c>
    </row>
    <row r="74" spans="2:9">
      <c r="C74" s="66"/>
    </row>
    <row r="75" spans="2:9" ht="15.75">
      <c r="B75">
        <v>1.1000000000000001</v>
      </c>
      <c r="C75" s="113" t="s">
        <v>125</v>
      </c>
    </row>
    <row r="76" spans="2:9">
      <c r="C76" s="66"/>
    </row>
    <row r="77" spans="2:9">
      <c r="C77" s="115">
        <f>D73/B75</f>
        <v>53.13014641422734</v>
      </c>
      <c r="D77" s="117" t="str">
        <f>IF(C77&gt;=F79,"             -   условие короны выполняется","             -   УСЛОВИЕ КОРОНЫ НЕ ВЫПОЛНЯЕТСЯ")</f>
        <v xml:space="preserve">             -   УСЛОВИЕ КОРОНЫ НЕ ВЫПОЛНЯЕТСЯ</v>
      </c>
    </row>
    <row r="78" spans="2:9">
      <c r="C78" s="66"/>
    </row>
    <row r="79" spans="2:9" ht="15.75">
      <c r="B79" t="s">
        <v>127</v>
      </c>
      <c r="C79" s="66"/>
      <c r="F79" s="5">
        <v>70</v>
      </c>
    </row>
    <row r="80" spans="2:9">
      <c r="C80" s="66"/>
    </row>
    <row r="81" spans="1:6">
      <c r="B81" t="s">
        <v>143</v>
      </c>
      <c r="C81" s="66"/>
    </row>
    <row r="82" spans="1:6">
      <c r="C82" s="66"/>
    </row>
    <row r="83" spans="1:6" ht="15.75">
      <c r="B83" t="s">
        <v>154</v>
      </c>
      <c r="D83" s="66"/>
      <c r="E83" s="5">
        <v>265</v>
      </c>
      <c r="F83" t="s">
        <v>126</v>
      </c>
    </row>
    <row r="84" spans="1:6">
      <c r="C84" s="66"/>
    </row>
    <row r="85" spans="1:6">
      <c r="A85" s="63"/>
      <c r="C85" s="124"/>
      <c r="D85" s="63"/>
      <c r="E85" s="63"/>
    </row>
    <row r="86" spans="1:6">
      <c r="A86" s="63"/>
      <c r="B86" s="63"/>
      <c r="C86" s="124"/>
      <c r="D86" s="125">
        <f>(PRODUCT(H18,POWER(10,3))+PRODUCT(H67,POWER(10,3)))/PRODUCT(SQRT(3),'1.3'!I45)</f>
        <v>163.1120587284212</v>
      </c>
      <c r="E86" s="63" t="s">
        <v>126</v>
      </c>
    </row>
    <row r="87" spans="1:6">
      <c r="A87" s="63"/>
      <c r="B87" s="63"/>
      <c r="C87" s="124"/>
      <c r="D87" s="63"/>
      <c r="E87" s="63"/>
    </row>
    <row r="89" spans="1:6">
      <c r="B89" t="s">
        <v>144</v>
      </c>
      <c r="C89" s="66"/>
    </row>
    <row r="90" spans="1:6">
      <c r="C90" s="66"/>
    </row>
    <row r="91" spans="1:6">
      <c r="C91" s="66"/>
      <c r="E91">
        <v>0.42199999999999999</v>
      </c>
      <c r="F91" t="s">
        <v>132</v>
      </c>
    </row>
    <row r="92" spans="1:6">
      <c r="C92" s="66"/>
      <c r="E92">
        <v>0.44400000000000001</v>
      </c>
      <c r="F92" t="s">
        <v>132</v>
      </c>
    </row>
    <row r="93" spans="1:6">
      <c r="C93" s="66"/>
      <c r="E93">
        <v>2.5470000000000002</v>
      </c>
      <c r="F93" t="s">
        <v>133</v>
      </c>
    </row>
    <row r="94" spans="1:6">
      <c r="C94" s="66"/>
    </row>
    <row r="95" spans="1:6">
      <c r="C95" s="66"/>
      <c r="E95">
        <f>PRODUCT(E91,'1.1'!H104)</f>
        <v>12.238</v>
      </c>
      <c r="F95" t="s">
        <v>134</v>
      </c>
    </row>
    <row r="96" spans="1:6">
      <c r="C96" s="66"/>
    </row>
    <row r="97" spans="2:10">
      <c r="C97" s="66"/>
      <c r="E97" s="118">
        <f>PRODUCT(E92,'1.1'!H104)</f>
        <v>12.875999999999999</v>
      </c>
      <c r="F97" t="s">
        <v>134</v>
      </c>
    </row>
    <row r="98" spans="2:10">
      <c r="C98" s="66"/>
    </row>
    <row r="99" spans="2:10">
      <c r="C99" s="66"/>
      <c r="E99" s="118">
        <f>('1.3'!I45^2)*(E93*10^-6)*'1.1'!H104</f>
        <v>0.89374229999999988</v>
      </c>
      <c r="F99" t="s">
        <v>43</v>
      </c>
    </row>
    <row r="100" spans="2:10">
      <c r="C100" s="66"/>
    </row>
    <row r="101" spans="2:10">
      <c r="C101" s="66"/>
    </row>
    <row r="103" spans="2:10">
      <c r="B103" t="s">
        <v>135</v>
      </c>
      <c r="C103" s="66"/>
    </row>
    <row r="104" spans="2:10">
      <c r="C104" s="66"/>
    </row>
    <row r="105" spans="2:10">
      <c r="C105" s="66"/>
      <c r="D105" t="str">
        <f>IMSUM(D67,COMPLEX(0,-E143/2,"j"))</f>
        <v>10,0280000401081+4,30067345126074j</v>
      </c>
      <c r="H105" s="5" t="s">
        <v>124</v>
      </c>
      <c r="I105">
        <f>IMABS(D105)</f>
        <v>10.911305006221165</v>
      </c>
      <c r="J105" s="5" t="s">
        <v>44</v>
      </c>
    </row>
    <row r="106" spans="2:10">
      <c r="C106" s="66"/>
    </row>
    <row r="107" spans="2:10">
      <c r="B107" t="s">
        <v>136</v>
      </c>
      <c r="C107" s="66"/>
    </row>
    <row r="108" spans="2:10">
      <c r="C108" s="66"/>
    </row>
    <row r="109" spans="2:10">
      <c r="C109" s="66"/>
      <c r="D109" t="str">
        <f>IMSUM(D111,COMPLEX(0,-E143,"j"))</f>
        <v>10,0280001605225+3,22201907795268j</v>
      </c>
      <c r="J109" s="5" t="s">
        <v>44</v>
      </c>
    </row>
    <row r="110" spans="2:10">
      <c r="C110" s="66"/>
    </row>
    <row r="111" spans="2:10">
      <c r="C111" s="66"/>
      <c r="D111" t="str">
        <f>IMSUM(D105,IMPRODUCT(E113,10^-6))</f>
        <v>10,0280001605225+4,30067357795268j</v>
      </c>
      <c r="J111" s="5" t="s">
        <v>44</v>
      </c>
    </row>
    <row r="112" spans="2:10">
      <c r="C112" s="66"/>
    </row>
    <row r="113" spans="2:10">
      <c r="C113" s="66"/>
      <c r="E113" t="str">
        <f>IMPRODUCT(IMDIV(IMPOWER(I105,2),IMPOWER('1.3'!I45,2)),(COMPLEX(PRODUCT(E95,POWER(10,-3)),PRODUCT(E97,POWER(10,-3)),"j")),10^3)</f>
        <v>0,120414412279081+0,126691940881308j</v>
      </c>
      <c r="I113">
        <f>IMABS(E113)</f>
        <v>0.17478695194089672</v>
      </c>
      <c r="J113" s="5" t="s">
        <v>134</v>
      </c>
    </row>
    <row r="114" spans="2:10">
      <c r="E114" s="190">
        <f>IMREAL(E113)</f>
        <v>0.12041441227908101</v>
      </c>
    </row>
    <row r="116" spans="2:10" ht="18.75">
      <c r="E116" s="116" t="s">
        <v>157</v>
      </c>
    </row>
    <row r="118" spans="2:10">
      <c r="B118" t="s">
        <v>167</v>
      </c>
    </row>
    <row r="120" spans="2:10">
      <c r="B120" t="s">
        <v>168</v>
      </c>
    </row>
    <row r="122" spans="2:10">
      <c r="D122" s="125">
        <f>(PRODUCT(H18,10^3))/PRODUCT(SQRT(3),'1.3'!I55)</f>
        <v>104.66889767277111</v>
      </c>
      <c r="E122" s="5" t="s">
        <v>126</v>
      </c>
    </row>
    <row r="124" spans="2:10">
      <c r="B124" t="s">
        <v>169</v>
      </c>
    </row>
    <row r="126" spans="2:10">
      <c r="D126" s="125">
        <f>(PRODUCT(H67,10^3))/PRODUCT(SQRT(3),'1.3'!I55)</f>
        <v>58.44316105565008</v>
      </c>
      <c r="E126" s="5" t="s">
        <v>126</v>
      </c>
    </row>
    <row r="129" spans="2:6">
      <c r="B129" t="s">
        <v>170</v>
      </c>
      <c r="C129" s="41">
        <f>IF(D122&gt;D126,D122,D126)</f>
        <v>104.66889767277111</v>
      </c>
      <c r="D129" s="5" t="s">
        <v>126</v>
      </c>
    </row>
    <row r="131" spans="2:6" ht="15.75">
      <c r="B131" t="s">
        <v>154</v>
      </c>
      <c r="D131" s="66"/>
      <c r="E131" s="5">
        <v>265</v>
      </c>
      <c r="F131" t="s">
        <v>126</v>
      </c>
    </row>
    <row r="133" spans="2:6">
      <c r="B133" t="s">
        <v>158</v>
      </c>
    </row>
    <row r="135" spans="2:6">
      <c r="C135" s="66"/>
      <c r="E135">
        <v>0.42199999999999999</v>
      </c>
      <c r="F135" t="s">
        <v>132</v>
      </c>
    </row>
    <row r="136" spans="2:6">
      <c r="C136" s="66"/>
      <c r="E136">
        <v>0.44400000000000001</v>
      </c>
      <c r="F136" t="s">
        <v>132</v>
      </c>
    </row>
    <row r="137" spans="2:6">
      <c r="C137" s="66"/>
      <c r="E137">
        <v>2.5470000000000002</v>
      </c>
      <c r="F137" t="s">
        <v>133</v>
      </c>
    </row>
    <row r="138" spans="2:6">
      <c r="C138" s="66"/>
    </row>
    <row r="139" spans="2:6">
      <c r="C139" s="66"/>
      <c r="E139" s="118">
        <f>PRODUCT(E135,'1.1'!K104)</f>
        <v>14.77</v>
      </c>
      <c r="F139" t="s">
        <v>134</v>
      </c>
    </row>
    <row r="140" spans="2:6">
      <c r="C140" s="66"/>
    </row>
    <row r="141" spans="2:6">
      <c r="C141" s="66"/>
      <c r="E141" s="118">
        <f>PRODUCT(E136,'1.1'!K104)</f>
        <v>15.540000000000001</v>
      </c>
      <c r="F141" t="s">
        <v>134</v>
      </c>
    </row>
    <row r="142" spans="2:6">
      <c r="C142" s="66"/>
    </row>
    <row r="143" spans="2:6">
      <c r="C143" s="66"/>
      <c r="E143" s="118">
        <f>('1.3'!I45^2)*(E137*10^-6)*'1.1'!K104</f>
        <v>1.0786544999999998</v>
      </c>
      <c r="F143" t="s">
        <v>43</v>
      </c>
    </row>
  </sheetData>
  <pageMargins left="0.7" right="0.1875" top="0.75" bottom="0.66123188405797106" header="0.3" footer="0.3"/>
  <pageSetup paperSize="9" orientation="portrait" horizontalDpi="300" verticalDpi="300" r:id="rId1"/>
  <headerFooter>
    <oddHeader>&amp;C&amp;K06+038кольцевая схема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21:J212"/>
  <sheetViews>
    <sheetView view="pageLayout" workbookViewId="0">
      <selection activeCell="B205" sqref="B205"/>
    </sheetView>
  </sheetViews>
  <sheetFormatPr defaultRowHeight="15"/>
  <cols>
    <col min="3" max="5" width="10.28515625" bestFit="1" customWidth="1"/>
  </cols>
  <sheetData>
    <row r="21" spans="2:10" ht="15.75">
      <c r="B21" s="113" t="s">
        <v>159</v>
      </c>
    </row>
    <row r="23" spans="2:10">
      <c r="F23" t="str">
        <f>COMPLEX('1.6'!E46,-'1.6'!E48,"j")</f>
        <v>11,816-12,432j</v>
      </c>
      <c r="H23" t="s">
        <v>134</v>
      </c>
    </row>
    <row r="24" spans="2:10">
      <c r="F24" t="str">
        <f>COMPLEX('1.6'!E95,-'1.6'!E97,"j")</f>
        <v>12,238-12,876j</v>
      </c>
      <c r="H24" t="s">
        <v>134</v>
      </c>
    </row>
    <row r="25" spans="2:10">
      <c r="F25" t="str">
        <f>COMPLEX('1.6'!E139,-'1.6'!E141,"j")</f>
        <v>14,77-15,54j</v>
      </c>
      <c r="H25" t="s">
        <v>134</v>
      </c>
    </row>
    <row r="26" spans="2:10">
      <c r="F26" t="str">
        <f>IMSUM(F23,F24,F25)</f>
        <v>38,824-40,848j</v>
      </c>
      <c r="H26" t="s">
        <v>134</v>
      </c>
    </row>
    <row r="29" spans="2:10">
      <c r="F29" t="str">
        <f>IMDIV(IMSUM(IMPRODUCT('1.6'!D18,IMSUM(F25,F24)),IMPRODUCT('1.6'!D67,F24)),F26)</f>
        <v>15,7091739751122+7,44147946028243j</v>
      </c>
      <c r="J29" t="s">
        <v>44</v>
      </c>
    </row>
    <row r="32" spans="2:10">
      <c r="F32" t="str">
        <f>IMDIV(IMSUM(IMPRODUCT('1.6'!D67,IMSUM(F25,F23)),IMPRODUCT('1.6'!D18,F23)),F26)</f>
        <v>12,3568261360457+5,90252264737553j</v>
      </c>
      <c r="J32" t="s">
        <v>44</v>
      </c>
    </row>
    <row r="35" spans="2:10">
      <c r="F35" t="str">
        <f>IMSUB(F32,'1.6'!D67)</f>
        <v>2,3288260959376+1,06252194611479j</v>
      </c>
      <c r="J35" t="s">
        <v>44</v>
      </c>
    </row>
    <row r="38" spans="2:10">
      <c r="B38" t="s">
        <v>160</v>
      </c>
    </row>
    <row r="51" spans="2:10" ht="18.75">
      <c r="E51" s="116" t="s">
        <v>162</v>
      </c>
    </row>
    <row r="53" spans="2:10">
      <c r="B53" t="s">
        <v>135</v>
      </c>
      <c r="C53" s="66"/>
    </row>
    <row r="54" spans="2:10">
      <c r="C54" s="66"/>
    </row>
    <row r="55" spans="2:10">
      <c r="C55" s="66"/>
      <c r="D55" t="str">
        <f>IMSUM(F29,COMPLEX(0,'1.6'!E50/2,"j"))</f>
        <v>15,7091739751122+7,87294126028243j</v>
      </c>
      <c r="J55" s="5" t="s">
        <v>44</v>
      </c>
    </row>
    <row r="56" spans="2:10">
      <c r="C56" s="66"/>
    </row>
    <row r="57" spans="2:10">
      <c r="B57" t="s">
        <v>136</v>
      </c>
      <c r="C57" s="66"/>
    </row>
    <row r="58" spans="2:10">
      <c r="C58" s="66"/>
    </row>
    <row r="59" spans="2:10">
      <c r="C59" s="66"/>
      <c r="D59" t="str">
        <f>IMSUM(D61,COMPLEX(0,-'1.5'!E133,"j"))</f>
        <v>15,7091739014281+7,01001809169691j</v>
      </c>
    </row>
    <row r="60" spans="2:10">
      <c r="C60" s="66"/>
    </row>
    <row r="61" spans="2:10">
      <c r="C61" s="66"/>
      <c r="D61" t="str">
        <f>IMSUM(D55,IMPRODUCT(E63,10^-6))</f>
        <v>15,7091739014281+7,87294169169691j</v>
      </c>
      <c r="J61" s="5" t="s">
        <v>44</v>
      </c>
    </row>
    <row r="62" spans="2:10">
      <c r="C62" s="66"/>
    </row>
    <row r="63" spans="2:10">
      <c r="C63" s="66"/>
      <c r="E63" t="str">
        <f>IMPRODUCT(IMDIV(IMPOWER(D55,2),IMPOWER('1.3'!I41,2)),(COMPLEX(PRODUCT('1.6'!E46,10^-3),PRODUCT('1.6'!E48,10^-3),"j")),10^3)</f>
        <v>-0,0736841261723232+0,43141447440258j</v>
      </c>
      <c r="J63" s="5" t="s">
        <v>137</v>
      </c>
    </row>
    <row r="64" spans="2:10">
      <c r="C64" s="66"/>
    </row>
    <row r="66" spans="2:10" ht="18.75">
      <c r="E66" s="129" t="s">
        <v>161</v>
      </c>
    </row>
    <row r="68" spans="2:10">
      <c r="B68" t="s">
        <v>135</v>
      </c>
      <c r="C68" s="66"/>
    </row>
    <row r="69" spans="2:10">
      <c r="C69" s="66"/>
    </row>
    <row r="70" spans="2:10">
      <c r="C70" s="66"/>
      <c r="D70" t="str">
        <f>IMSUM(F32,COMPLEX(0,'1.6'!E99/2,"j"))</f>
        <v>12,3568261360457+6,34939379737553j</v>
      </c>
      <c r="H70" s="5" t="s">
        <v>124</v>
      </c>
      <c r="I70">
        <f>IMABS(D70)</f>
        <v>13.892658267970639</v>
      </c>
      <c r="J70" s="5" t="s">
        <v>44</v>
      </c>
    </row>
    <row r="71" spans="2:10">
      <c r="C71" s="66"/>
    </row>
    <row r="72" spans="2:10">
      <c r="B72" t="s">
        <v>136</v>
      </c>
      <c r="C72" s="66"/>
    </row>
    <row r="73" spans="2:10">
      <c r="C73" s="66"/>
    </row>
    <row r="74" spans="2:10">
      <c r="C74" s="66"/>
      <c r="D74" t="str">
        <f>IMSUM(D76,COMPLEX(0,-'1.5'!E206,"j"))</f>
        <v>12,3568263312529+5,45565170275939j</v>
      </c>
    </row>
    <row r="75" spans="2:10">
      <c r="C75" s="66"/>
    </row>
    <row r="76" spans="2:10">
      <c r="C76" s="66"/>
      <c r="D76" t="str">
        <f>IMSUM(D70,IMPRODUCT(E78,10^-6))</f>
        <v>12,3568263312529+6,34939400275939j</v>
      </c>
      <c r="J76" s="5" t="s">
        <v>44</v>
      </c>
    </row>
    <row r="77" spans="2:10">
      <c r="C77" s="66"/>
    </row>
    <row r="78" spans="2:10">
      <c r="C78" s="66"/>
      <c r="E78" t="str">
        <f>IMPRODUCT(IMDIV(IMPOWER(I70,2),IMPOWER('1.3'!I31,2)),(COMPLEX(PRODUCT('1.6'!E95,10^-3),PRODUCT('1.6'!E97,10^-3),"j")),10^3)</f>
        <v>0,195207178677686+0,205383856239082j</v>
      </c>
      <c r="J78" s="5" t="s">
        <v>134</v>
      </c>
    </row>
    <row r="81" spans="2:10">
      <c r="B81" t="s">
        <v>163</v>
      </c>
    </row>
    <row r="83" spans="2:10">
      <c r="D83" t="str">
        <f>IMSUM(D55,D70)</f>
        <v>28,0660001111579+14,222335057658j</v>
      </c>
      <c r="J83" s="5" t="s">
        <v>44</v>
      </c>
    </row>
    <row r="87" spans="2:10" ht="18.75">
      <c r="E87" s="129" t="s">
        <v>164</v>
      </c>
    </row>
    <row r="91" spans="2:10">
      <c r="B91" t="s">
        <v>165</v>
      </c>
    </row>
    <row r="101" spans="1:5" ht="18.75">
      <c r="C101" s="66"/>
      <c r="E101" s="116" t="s">
        <v>146</v>
      </c>
    </row>
    <row r="102" spans="1:5">
      <c r="C102" s="66"/>
    </row>
    <row r="103" spans="1:5">
      <c r="C103" s="66"/>
    </row>
    <row r="104" spans="1:5">
      <c r="C104" s="66"/>
    </row>
    <row r="105" spans="1:5">
      <c r="C105" s="66"/>
    </row>
    <row r="106" spans="1:5">
      <c r="C106" s="66"/>
    </row>
    <row r="107" spans="1:5">
      <c r="A107" s="5"/>
      <c r="C107" s="66"/>
      <c r="D107" s="5"/>
    </row>
    <row r="108" spans="1:5">
      <c r="C108" s="66"/>
    </row>
    <row r="109" spans="1:5">
      <c r="C109" s="66"/>
    </row>
    <row r="110" spans="1:5">
      <c r="C110" s="66"/>
    </row>
    <row r="111" spans="1:5">
      <c r="C111" s="66"/>
    </row>
    <row r="112" spans="1:5">
      <c r="C112" s="66"/>
    </row>
    <row r="113" spans="2:9">
      <c r="C113" s="66"/>
    </row>
    <row r="114" spans="2:9">
      <c r="C114" s="66"/>
    </row>
    <row r="115" spans="2:9" ht="15.75">
      <c r="B115" s="119" t="s">
        <v>147</v>
      </c>
      <c r="C115" s="66"/>
    </row>
    <row r="116" spans="2:9">
      <c r="C116" s="66"/>
    </row>
    <row r="117" spans="2:9">
      <c r="C117" s="66"/>
    </row>
    <row r="118" spans="2:9">
      <c r="B118" s="66" t="s">
        <v>124</v>
      </c>
      <c r="D118" s="5"/>
    </row>
    <row r="119" spans="2:9">
      <c r="C119" s="66"/>
    </row>
    <row r="120" spans="2:9">
      <c r="C120" s="71" t="str">
        <f>D83</f>
        <v>28,0660001111579+14,222335057658j</v>
      </c>
      <c r="G120" t="s">
        <v>124</v>
      </c>
      <c r="H120">
        <f>IMABS(C120)</f>
        <v>31.463870975005655</v>
      </c>
      <c r="I120" t="s">
        <v>44</v>
      </c>
    </row>
    <row r="121" spans="2:9">
      <c r="C121" s="66"/>
    </row>
    <row r="122" spans="2:9">
      <c r="C122" s="66"/>
      <c r="E122" t="str">
        <f>IMSUM(C120,IMPRODUCT(E126,10^-6),COMPLEX('1.1'!F10,'1.1'!F10*'1.1'!G10,"j"))</f>
        <v>69,0659997101904+34,722335358288j</v>
      </c>
      <c r="I122" s="71" t="s">
        <v>44</v>
      </c>
    </row>
    <row r="123" spans="2:9">
      <c r="C123" s="66"/>
    </row>
    <row r="124" spans="2:9">
      <c r="C124" s="66" t="s">
        <v>124</v>
      </c>
      <c r="D124" t="str">
        <f>IMDIV(COMPLEX(PRODUCT('параметры тр-ров'!J9,10^-6),PRODUCT('параметры тр-ров'!M9,10^-6),"j"),2)</f>
        <v>0,00000026+0,0000245j</v>
      </c>
      <c r="G124" s="43" t="s">
        <v>138</v>
      </c>
      <c r="H124" t="str">
        <f>IMPRODUCT(D124,POWER(10,6))</f>
        <v>0,26+24,5j</v>
      </c>
      <c r="I124" t="s">
        <v>137</v>
      </c>
    </row>
    <row r="125" spans="2:9">
      <c r="C125" s="66"/>
    </row>
    <row r="126" spans="2:9">
      <c r="C126" s="66"/>
      <c r="D126" s="66" t="s">
        <v>124</v>
      </c>
      <c r="E126" t="str">
        <f>IMPRODUCT(IMDIV(IMPOWER(C120,2),IMPOWER('1.3'!I21,2)),IMPRODUCT(D124,10^3),10^3)</f>
        <v>-0,400967524085418+0,300629984082808j</v>
      </c>
      <c r="I126" t="s">
        <v>137</v>
      </c>
    </row>
    <row r="127" spans="2:9">
      <c r="C127" s="66"/>
      <c r="D127" s="66"/>
    </row>
    <row r="128" spans="2:9">
      <c r="C128" s="66"/>
    </row>
    <row r="129" spans="2:10">
      <c r="C129" s="66"/>
    </row>
    <row r="130" spans="2:10">
      <c r="C130" s="66" t="s">
        <v>124</v>
      </c>
      <c r="D130" t="str">
        <f>IMSUM(E122,IMPRODUCT(2,COMPLEX(IMPRODUCT('параметры тр-ров'!J9,POWER(10,-3)),(IMPRODUCT('параметры тр-ров'!M9,POWER(10,-3))),"j")))</f>
        <v>69,0670397101904+34,820335358288j</v>
      </c>
      <c r="G130" s="66" t="s">
        <v>124</v>
      </c>
      <c r="H130" s="41">
        <f>IMABS(D130)</f>
        <v>77.347991110258704</v>
      </c>
      <c r="I130" t="s">
        <v>44</v>
      </c>
    </row>
    <row r="131" spans="2:10">
      <c r="C131" s="66"/>
    </row>
    <row r="132" spans="2:10">
      <c r="C132" s="66"/>
      <c r="G132" s="66"/>
      <c r="H132" s="114"/>
    </row>
    <row r="133" spans="2:10" ht="15.75">
      <c r="B133" s="119" t="s">
        <v>148</v>
      </c>
      <c r="C133" s="66"/>
    </row>
    <row r="134" spans="2:10">
      <c r="C134" s="66"/>
    </row>
    <row r="135" spans="2:10">
      <c r="C135" s="66"/>
    </row>
    <row r="136" spans="2:10">
      <c r="B136" s="66" t="s">
        <v>124</v>
      </c>
      <c r="C136" s="66" t="str">
        <f>COMPLEX('1.1'!J10,'1.1'!J10*'1.1'!K10,"j")</f>
        <v>24+12j</v>
      </c>
      <c r="D136" s="5" t="s">
        <v>124</v>
      </c>
      <c r="E136" s="41">
        <f>IMABS(C136)</f>
        <v>26.832815729997478</v>
      </c>
      <c r="G136" t="s">
        <v>44</v>
      </c>
      <c r="J136" s="5"/>
    </row>
    <row r="137" spans="2:10">
      <c r="C137" s="66"/>
    </row>
    <row r="138" spans="2:10">
      <c r="C138" s="66" t="s">
        <v>124</v>
      </c>
      <c r="D138" t="str">
        <f>IMSUM(C136,IMPOWER(E142,10^-6))</f>
        <v>25,0000061564472+12,0000015463832j</v>
      </c>
      <c r="H138" s="5" t="s">
        <v>124</v>
      </c>
      <c r="I138" s="41">
        <f>IMABS(D138)</f>
        <v>27.730855467071279</v>
      </c>
      <c r="J138" s="71" t="s">
        <v>44</v>
      </c>
    </row>
    <row r="139" spans="2:10">
      <c r="C139" s="66"/>
    </row>
    <row r="140" spans="2:10">
      <c r="C140" s="66" t="s">
        <v>124</v>
      </c>
      <c r="D140" t="str">
        <f>IMDIV(COMPLEX(PRODUCT('параметры тр-ров'!L9,POWER(10,-6)),PRODUCT('параметры тр-ров'!O9,POWER(10,-6)),"j"),2)</f>
        <v>0,0000016+0,0000655j</v>
      </c>
      <c r="F140" s="43" t="s">
        <v>138</v>
      </c>
      <c r="G140" t="str">
        <f>IMPRODUCT(D140,POWER(10,6))</f>
        <v>1,6+65,5j</v>
      </c>
      <c r="J140" t="s">
        <v>137</v>
      </c>
    </row>
    <row r="141" spans="2:10">
      <c r="C141" s="66"/>
    </row>
    <row r="142" spans="2:10">
      <c r="C142" s="66"/>
      <c r="D142" s="66" t="s">
        <v>124</v>
      </c>
      <c r="E142" t="str">
        <f>IMPRODUCT(IMDIV(IMPOWER(E136,2),IMPOWER('1.1'!K7,2)),IMPRODUCT(D140,10^3),10^3)</f>
        <v>11,52+471,6j</v>
      </c>
      <c r="J142" t="s">
        <v>137</v>
      </c>
    </row>
    <row r="143" spans="2:10">
      <c r="C143" s="66"/>
      <c r="D143" s="66"/>
    </row>
    <row r="144" spans="2:10">
      <c r="C144" s="66"/>
    </row>
    <row r="145" spans="2:10">
      <c r="C145" s="66"/>
    </row>
    <row r="146" spans="2:10">
      <c r="C146" s="66" t="s">
        <v>124</v>
      </c>
      <c r="D146" t="str">
        <f>IMSUM(D138,IMPRODUCT(2,COMPLEX(IMPRODUCT('параметры тр-ров'!H9,POWER(10,-3)),(IMPRODUCT('параметры тр-ров'!I9,POWER(10,-3))),"j")))</f>
        <v>25,1300061564472+13,2500015463832j</v>
      </c>
      <c r="H146" s="5" t="s">
        <v>124</v>
      </c>
      <c r="I146" s="41">
        <f>IMABS(D146)</f>
        <v>28.409149061565209</v>
      </c>
      <c r="J146" t="s">
        <v>44</v>
      </c>
    </row>
    <row r="147" spans="2:10">
      <c r="C147" s="66"/>
    </row>
    <row r="148" spans="2:10">
      <c r="C148" s="66"/>
    </row>
    <row r="149" spans="2:10" ht="15.75">
      <c r="B149" s="119" t="s">
        <v>149</v>
      </c>
      <c r="C149" s="66"/>
    </row>
    <row r="150" spans="2:10">
      <c r="C150" s="66"/>
    </row>
    <row r="151" spans="2:10">
      <c r="C151" s="66"/>
    </row>
    <row r="152" spans="2:10">
      <c r="D152" t="str">
        <f>IMSUM(C120,C136)</f>
        <v>52,0660001111579+26,222335057658j</v>
      </c>
      <c r="H152" s="5" t="s">
        <v>124</v>
      </c>
      <c r="I152">
        <f>IMABS(D152)</f>
        <v>58.296476938586736</v>
      </c>
      <c r="J152" t="s">
        <v>44</v>
      </c>
    </row>
    <row r="153" spans="2:10">
      <c r="C153" s="66"/>
    </row>
    <row r="154" spans="2:10">
      <c r="C154" s="66"/>
      <c r="D154" t="str">
        <f>IMSUM(D152,IMPOWER(E158,10^-6),"j")</f>
        <v>53,0660006537145+27,2223366178433j</v>
      </c>
      <c r="J154" s="71" t="s">
        <v>44</v>
      </c>
    </row>
    <row r="155" spans="2:10">
      <c r="C155" s="66"/>
    </row>
    <row r="156" spans="2:10">
      <c r="C156" s="66" t="s">
        <v>124</v>
      </c>
      <c r="D156" t="str">
        <f>IMDIV(COMPLEX(PRODUCT('параметры тр-ров'!J9,POWER(10,-6)),PRODUCT('параметры тр-ров'!M9,POWER(10,-6)),"j"),2)</f>
        <v>0,00000026+0,0000245j</v>
      </c>
      <c r="F156" s="43" t="s">
        <v>138</v>
      </c>
      <c r="G156" t="str">
        <f>IMPRODUCT(D156,POWER(10,6))</f>
        <v>0,26+24,5j</v>
      </c>
      <c r="J156" t="s">
        <v>137</v>
      </c>
    </row>
    <row r="157" spans="2:10">
      <c r="C157" s="66"/>
    </row>
    <row r="158" spans="2:10">
      <c r="C158" s="66"/>
      <c r="D158" s="66" t="s">
        <v>124</v>
      </c>
      <c r="E158" t="str">
        <f>IMPRODUCT(IMDIV(IMPOWER(I152,2),IMPOWER('1.3'!I37,2)),IMPRODUCT(D156,10^3),10^3)</f>
        <v>0,0182562933491179+1,72030456558996j</v>
      </c>
      <c r="J158" t="s">
        <v>137</v>
      </c>
    </row>
    <row r="159" spans="2:10">
      <c r="C159" s="66"/>
      <c r="D159" s="66"/>
    </row>
    <row r="160" spans="2:10">
      <c r="C160" s="66"/>
    </row>
    <row r="161" spans="2:10">
      <c r="C161" s="66"/>
    </row>
    <row r="162" spans="2:10">
      <c r="C162" s="66" t="s">
        <v>124</v>
      </c>
      <c r="D162" t="str">
        <f>IMSUM(D154,IMPRODUCT(2,COMPLEX(IMPRODUCT('параметры тр-ров'!H9,POWER(10,-3)),(IMPRODUCT('параметры тр-ров'!I9,POWER(10,-3))),"j")))</f>
        <v>53,1960006537145+28,4723366178433j</v>
      </c>
      <c r="G162" s="66"/>
      <c r="H162" s="5" t="s">
        <v>124</v>
      </c>
      <c r="I162" s="41">
        <f>IMABS(D162)</f>
        <v>60.336460270965297</v>
      </c>
      <c r="J162" t="s">
        <v>44</v>
      </c>
    </row>
    <row r="163" spans="2:10">
      <c r="C163" s="66"/>
    </row>
    <row r="164" spans="2:10">
      <c r="C164" s="66"/>
    </row>
    <row r="165" spans="2:10" ht="18.75">
      <c r="C165" s="66"/>
      <c r="E165" s="116" t="s">
        <v>141</v>
      </c>
    </row>
    <row r="166" spans="2:10">
      <c r="C166" s="66"/>
    </row>
    <row r="167" spans="2:10">
      <c r="C167" s="66"/>
    </row>
    <row r="168" spans="2:10">
      <c r="C168" s="66" t="s">
        <v>124</v>
      </c>
      <c r="D168" s="41">
        <f>(PRODUCT(I162,POWER(10,3)))/(PRODUCT(SQRT(3),'1.3'!I37,2))</f>
        <v>79.171071771343136</v>
      </c>
      <c r="E168" t="s">
        <v>126</v>
      </c>
    </row>
    <row r="169" spans="2:10">
      <c r="C169" s="66"/>
    </row>
    <row r="170" spans="2:10" ht="15.75">
      <c r="B170">
        <v>1.1000000000000001</v>
      </c>
      <c r="C170" s="113" t="s">
        <v>125</v>
      </c>
    </row>
    <row r="171" spans="2:10">
      <c r="C171" s="66"/>
    </row>
    <row r="172" spans="2:10">
      <c r="C172" s="115">
        <f>D168/B170</f>
        <v>71.973701610311934</v>
      </c>
      <c r="D172" s="117" t="str">
        <f>IF(C172&gt;=F174,"             -   условие короны выполняется","             -   УСЛОВИЕ КОРОНЫ НЕ ВЫПОЛНЯЕТСЯ")</f>
        <v xml:space="preserve">             -   УСЛОВИЕ КОРОНЫ НЕ ВЫПОЛНЯЕТСЯ</v>
      </c>
    </row>
    <row r="173" spans="2:10">
      <c r="C173" s="66"/>
    </row>
    <row r="174" spans="2:10" ht="15.75">
      <c r="B174" s="120" t="s">
        <v>150</v>
      </c>
      <c r="C174" s="121"/>
      <c r="D174" s="120"/>
      <c r="E174" s="120"/>
      <c r="F174" s="122">
        <v>240</v>
      </c>
      <c r="G174" s="120"/>
    </row>
    <row r="175" spans="2:10">
      <c r="C175" s="66"/>
    </row>
    <row r="176" spans="2:10">
      <c r="B176" t="s">
        <v>151</v>
      </c>
      <c r="C176" s="66"/>
    </row>
    <row r="177" spans="2:6">
      <c r="C177" s="66"/>
    </row>
    <row r="178" spans="2:6" ht="15.75">
      <c r="B178" t="s">
        <v>129</v>
      </c>
      <c r="D178" s="66"/>
      <c r="E178" s="5">
        <v>610</v>
      </c>
      <c r="F178" t="s">
        <v>126</v>
      </c>
    </row>
    <row r="179" spans="2:6">
      <c r="C179" s="66"/>
    </row>
    <row r="180" spans="2:6">
      <c r="C180" s="66"/>
    </row>
    <row r="181" spans="2:6">
      <c r="C181" s="66"/>
      <c r="D181" s="41">
        <f>PRODUCT(I162,POWER(10,3)/PRODUCT(SQRT(3),'1.3'!I37))</f>
        <v>158.34214354268627</v>
      </c>
      <c r="E181" t="s">
        <v>126</v>
      </c>
    </row>
    <row r="182" spans="2:6">
      <c r="C182" s="66"/>
    </row>
    <row r="183" spans="2:6" ht="15.75">
      <c r="B183" t="s">
        <v>130</v>
      </c>
      <c r="C183" s="66"/>
      <c r="E183" s="117" t="str">
        <f>IF(D181&lt;=E178," -   выполняется","-   НЕ ВЫПОЛНЯЕТСЯ")</f>
        <v xml:space="preserve"> -   выполняется</v>
      </c>
    </row>
    <row r="184" spans="2:6">
      <c r="C184" s="66"/>
    </row>
    <row r="185" spans="2:6">
      <c r="C185" s="66"/>
    </row>
    <row r="186" spans="2:6">
      <c r="C186" s="66"/>
    </row>
    <row r="187" spans="2:6">
      <c r="B187" t="s">
        <v>152</v>
      </c>
      <c r="C187" s="66"/>
    </row>
    <row r="188" spans="2:6">
      <c r="C188" s="66"/>
    </row>
    <row r="189" spans="2:6">
      <c r="C189" s="66"/>
      <c r="E189">
        <v>0.11799999999999999</v>
      </c>
      <c r="F189" t="s">
        <v>132</v>
      </c>
    </row>
    <row r="190" spans="2:6">
      <c r="C190" s="66"/>
      <c r="E190">
        <v>0.435</v>
      </c>
      <c r="F190" t="s">
        <v>132</v>
      </c>
    </row>
    <row r="191" spans="2:6">
      <c r="C191" s="66"/>
      <c r="E191">
        <v>2.6040000000000001</v>
      </c>
      <c r="F191" t="s">
        <v>133</v>
      </c>
    </row>
    <row r="192" spans="2:6">
      <c r="C192" s="66"/>
    </row>
    <row r="193" spans="2:9">
      <c r="C193" s="66"/>
      <c r="E193">
        <f>(PRODUCT(E189,'1.1'!E104)/2)</f>
        <v>3.363</v>
      </c>
      <c r="F193" t="s">
        <v>134</v>
      </c>
    </row>
    <row r="194" spans="2:9">
      <c r="C194" s="66"/>
    </row>
    <row r="195" spans="2:9">
      <c r="C195" s="66"/>
      <c r="E195" s="118">
        <f>PRODUCT(E190,'1.1'!E104)/2</f>
        <v>12.397499999999999</v>
      </c>
      <c r="F195" t="s">
        <v>134</v>
      </c>
    </row>
    <row r="196" spans="2:9">
      <c r="C196" s="66"/>
    </row>
    <row r="197" spans="2:9">
      <c r="C197" s="66"/>
      <c r="E197" s="118">
        <f>('1.3'!I37^2)*(E191*10^-6)*'1.1'!E104</f>
        <v>7.1839151999999995</v>
      </c>
      <c r="F197" t="s">
        <v>43</v>
      </c>
    </row>
    <row r="198" spans="2:9">
      <c r="C198" s="66"/>
    </row>
    <row r="199" spans="2:9">
      <c r="C199" s="66"/>
    </row>
    <row r="201" spans="2:9">
      <c r="B201" t="s">
        <v>135</v>
      </c>
      <c r="C201" s="66"/>
    </row>
    <row r="202" spans="2:9">
      <c r="C202" s="66"/>
    </row>
    <row r="203" spans="2:9">
      <c r="C203" s="66"/>
      <c r="D203" t="str">
        <f>IMSUM(I162,COMPLEX(0,-E197,"j"))</f>
        <v>60,3364602709653-7,1839152j</v>
      </c>
      <c r="G203" s="5" t="s">
        <v>124</v>
      </c>
      <c r="H203" s="118">
        <f>IMABS(D203)</f>
        <v>60.7626289394276</v>
      </c>
      <c r="I203" s="5" t="s">
        <v>44</v>
      </c>
    </row>
    <row r="204" spans="2:9">
      <c r="C204" s="66"/>
    </row>
    <row r="205" spans="2:9">
      <c r="B205" t="s">
        <v>136</v>
      </c>
      <c r="C205" s="66"/>
    </row>
    <row r="206" spans="2:9">
      <c r="C206" s="66"/>
    </row>
    <row r="207" spans="2:9">
      <c r="C207" s="66"/>
      <c r="D207" t="str">
        <f>IMSUM(D209,COMPLEX(0,-E197,"j"))</f>
        <v>61,3364595575086-14,3678290940945j</v>
      </c>
      <c r="I207" s="5" t="s">
        <v>44</v>
      </c>
    </row>
    <row r="208" spans="2:9">
      <c r="C208" s="66"/>
    </row>
    <row r="209" spans="3:9">
      <c r="C209" s="66"/>
      <c r="D209" t="str">
        <f>IMSUM(D203,IMPOWER(E211,10^-6))</f>
        <v>61,3364595575086-7,18391389409452j</v>
      </c>
      <c r="I209" s="5" t="s">
        <v>44</v>
      </c>
    </row>
    <row r="210" spans="3:9">
      <c r="C210" s="66"/>
    </row>
    <row r="211" spans="3:9">
      <c r="C211" s="66"/>
      <c r="E211" t="str">
        <f>IMPRODUCT(IMDIV(IMPOWER(H203,2),IMPOWER('1.3'!I37,2)),IMDIV(COMPLEX(PRODUCT(E193,POWER(10,-3)),PRODUCT(E195,POWER(10,-3)),"j"),2),10^3)</f>
        <v>0,12826986017919+0,47285923032159j</v>
      </c>
      <c r="I211" s="5" t="s">
        <v>137</v>
      </c>
    </row>
    <row r="212" spans="3:9">
      <c r="C212" s="66"/>
    </row>
  </sheetData>
  <pageMargins left="0.64311594202898548" right="1.8115942028985508E-2" top="0.75" bottom="0.75" header="0.3" footer="0.3"/>
  <pageSetup paperSize="9" orientation="portrait" horizontalDpi="300" verticalDpi="300" r:id="rId1"/>
  <headerFooter>
    <oddHeader>&amp;C&amp;K06+038кольцевая схема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E19"/>
  <sheetViews>
    <sheetView view="pageLayout" topLeftCell="A25" workbookViewId="0">
      <selection activeCell="E19" sqref="E19"/>
    </sheetView>
  </sheetViews>
  <sheetFormatPr defaultRowHeight="15"/>
  <sheetData>
    <row r="19" spans="5:5" ht="15.75">
      <c r="E19" s="113" t="s">
        <v>173</v>
      </c>
    </row>
  </sheetData>
  <pageMargins left="0.7" right="0.26041666666666669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4:J199"/>
  <sheetViews>
    <sheetView view="pageLayout" topLeftCell="A61" workbookViewId="0">
      <selection activeCell="E81" sqref="E81"/>
    </sheetView>
  </sheetViews>
  <sheetFormatPr defaultRowHeight="15"/>
  <cols>
    <col min="3" max="3" width="11.7109375" bestFit="1" customWidth="1"/>
    <col min="4" max="4" width="10.5703125" bestFit="1" customWidth="1"/>
    <col min="5" max="5" width="9.42578125" customWidth="1"/>
    <col min="8" max="8" width="10" bestFit="1" customWidth="1"/>
    <col min="10" max="10" width="9.140625" customWidth="1"/>
  </cols>
  <sheetData>
    <row r="14" spans="2:2" ht="18.75">
      <c r="B14" s="149" t="s">
        <v>208</v>
      </c>
    </row>
    <row r="16" spans="2:2">
      <c r="B16" s="154" t="s">
        <v>220</v>
      </c>
    </row>
    <row r="18" spans="1:10">
      <c r="A18" s="5"/>
      <c r="B18" s="79" t="s">
        <v>174</v>
      </c>
      <c r="C18" s="79" t="s">
        <v>209</v>
      </c>
      <c r="D18" s="79" t="s">
        <v>216</v>
      </c>
      <c r="E18" s="79" t="s">
        <v>210</v>
      </c>
      <c r="F18" s="79" t="s">
        <v>211</v>
      </c>
      <c r="G18" s="79" t="s">
        <v>182</v>
      </c>
      <c r="H18" s="82" t="s">
        <v>212</v>
      </c>
      <c r="I18" s="133" t="s">
        <v>240</v>
      </c>
      <c r="J18" s="150"/>
    </row>
    <row r="19" spans="1:10">
      <c r="A19" s="5"/>
      <c r="B19" s="81"/>
      <c r="C19" s="81"/>
      <c r="D19" s="81" t="s">
        <v>217</v>
      </c>
      <c r="E19" s="81" t="s">
        <v>179</v>
      </c>
      <c r="F19" s="81" t="s">
        <v>181</v>
      </c>
      <c r="G19" s="81" t="s">
        <v>183</v>
      </c>
      <c r="H19" s="83" t="s">
        <v>213</v>
      </c>
      <c r="I19" s="11" t="s">
        <v>214</v>
      </c>
      <c r="J19" s="11" t="s">
        <v>215</v>
      </c>
    </row>
    <row r="20" spans="1:10">
      <c r="B20" s="152" t="str">
        <f>'1.1'!G103</f>
        <v xml:space="preserve"> 1 - 3</v>
      </c>
      <c r="C20" s="137">
        <v>110</v>
      </c>
      <c r="D20" s="137" t="s">
        <v>218</v>
      </c>
      <c r="E20" s="137" t="s">
        <v>219</v>
      </c>
      <c r="F20" s="137">
        <v>2</v>
      </c>
      <c r="G20" s="137" t="s">
        <v>197</v>
      </c>
      <c r="H20" s="137">
        <f>'1.1'!G104</f>
        <v>28</v>
      </c>
      <c r="I20" s="137">
        <v>57</v>
      </c>
      <c r="J20" s="163">
        <f>I20*H24*H20*H25*F20</f>
        <v>153216</v>
      </c>
    </row>
    <row r="21" spans="1:10">
      <c r="B21" s="11" t="str">
        <f>'1.1'!H103</f>
        <v xml:space="preserve"> 1 - 4</v>
      </c>
      <c r="C21" s="89">
        <v>110</v>
      </c>
      <c r="D21" s="89" t="s">
        <v>218</v>
      </c>
      <c r="E21" s="89" t="s">
        <v>219</v>
      </c>
      <c r="F21" s="11">
        <v>2</v>
      </c>
      <c r="G21" s="11" t="s">
        <v>197</v>
      </c>
      <c r="H21" s="11">
        <f>'1.1'!H104</f>
        <v>29</v>
      </c>
      <c r="I21" s="11">
        <v>57</v>
      </c>
      <c r="J21" s="164">
        <f>I21*H24*H21*H25*F21</f>
        <v>158688</v>
      </c>
    </row>
    <row r="22" spans="1:10">
      <c r="B22" s="5"/>
      <c r="C22" s="5"/>
      <c r="D22" s="151"/>
      <c r="E22" s="5"/>
      <c r="F22" s="5"/>
      <c r="G22" s="5"/>
      <c r="H22" s="5"/>
      <c r="I22" s="61" t="s">
        <v>199</v>
      </c>
      <c r="J22" s="165">
        <f>SUM(J20:J21)</f>
        <v>311904</v>
      </c>
    </row>
    <row r="24" spans="1:10">
      <c r="B24" s="161" t="s">
        <v>236</v>
      </c>
      <c r="C24" s="138"/>
      <c r="D24" s="138"/>
      <c r="E24" s="138"/>
      <c r="F24" s="155"/>
      <c r="G24" s="155"/>
      <c r="H24" s="138">
        <v>40</v>
      </c>
    </row>
    <row r="25" spans="1:10">
      <c r="B25" s="160" t="s">
        <v>235</v>
      </c>
      <c r="C25" s="157"/>
      <c r="D25" s="157"/>
      <c r="E25" s="157"/>
      <c r="F25" s="157"/>
      <c r="G25" s="157"/>
      <c r="H25" s="158">
        <v>1.2</v>
      </c>
    </row>
    <row r="29" spans="1:10">
      <c r="B29" s="154" t="s">
        <v>221</v>
      </c>
    </row>
    <row r="31" spans="1:10">
      <c r="E31" s="166">
        <f>I42+C35*C33*H24</f>
        <v>136928</v>
      </c>
      <c r="F31" t="s">
        <v>222</v>
      </c>
    </row>
    <row r="33" spans="2:10">
      <c r="C33">
        <v>430</v>
      </c>
      <c r="D33" t="s">
        <v>222</v>
      </c>
    </row>
    <row r="35" spans="2:10">
      <c r="C35" s="66">
        <v>2</v>
      </c>
      <c r="D35" s="100" t="s">
        <v>242</v>
      </c>
    </row>
    <row r="36" spans="2:10">
      <c r="C36">
        <v>2</v>
      </c>
      <c r="D36" t="s">
        <v>261</v>
      </c>
    </row>
    <row r="37" spans="2:10">
      <c r="C37">
        <v>2</v>
      </c>
      <c r="D37" t="s">
        <v>262</v>
      </c>
    </row>
    <row r="38" spans="2:10">
      <c r="D38" t="s">
        <v>260</v>
      </c>
    </row>
    <row r="39" spans="2:10">
      <c r="C39" s="177" t="s">
        <v>259</v>
      </c>
    </row>
    <row r="40" spans="2:10">
      <c r="C40" s="177" t="s">
        <v>258</v>
      </c>
    </row>
    <row r="42" spans="2:10">
      <c r="I42" s="167">
        <f>(C35*C46+C35*C36*C44+C37*C44)*H24*H25</f>
        <v>102528</v>
      </c>
      <c r="J42" s="63" t="s">
        <v>222</v>
      </c>
    </row>
    <row r="44" spans="2:10">
      <c r="C44">
        <v>290</v>
      </c>
      <c r="D44" s="63" t="s">
        <v>222</v>
      </c>
    </row>
    <row r="46" spans="2:10">
      <c r="C46">
        <v>198</v>
      </c>
      <c r="D46" t="s">
        <v>222</v>
      </c>
      <c r="E46" t="s">
        <v>245</v>
      </c>
    </row>
    <row r="48" spans="2:10">
      <c r="B48" s="153" t="s">
        <v>223</v>
      </c>
    </row>
    <row r="50" spans="2:10">
      <c r="D50" s="162">
        <f>J22+E31</f>
        <v>448832</v>
      </c>
      <c r="E50" t="s">
        <v>222</v>
      </c>
    </row>
    <row r="51" spans="2:10" ht="15.75">
      <c r="B51" s="156" t="s">
        <v>231</v>
      </c>
    </row>
    <row r="53" spans="2:10">
      <c r="D53" s="162">
        <f>I57*I42*I56/100/100</f>
        <v>3206.0505600000006</v>
      </c>
      <c r="E53" s="63" t="s">
        <v>222</v>
      </c>
    </row>
    <row r="56" spans="2:10">
      <c r="B56" s="171" t="s">
        <v>246</v>
      </c>
      <c r="C56" s="171"/>
      <c r="D56" s="171"/>
      <c r="E56" s="171"/>
      <c r="F56" s="171"/>
      <c r="G56" s="155"/>
      <c r="H56" s="155"/>
      <c r="I56" s="155">
        <v>53</v>
      </c>
      <c r="J56" s="155" t="s">
        <v>18</v>
      </c>
    </row>
    <row r="57" spans="2:10">
      <c r="B57" s="159" t="s">
        <v>232</v>
      </c>
      <c r="C57" s="159"/>
      <c r="D57" s="159"/>
      <c r="E57" s="159"/>
      <c r="F57" s="159"/>
      <c r="G57" s="157"/>
      <c r="H57" s="157"/>
      <c r="I57" s="157">
        <v>5.9</v>
      </c>
      <c r="J57" s="157" t="s">
        <v>18</v>
      </c>
    </row>
    <row r="59" spans="2:10" ht="15.75">
      <c r="B59" s="156" t="s">
        <v>233</v>
      </c>
    </row>
    <row r="61" spans="2:10">
      <c r="D61" s="41">
        <f>I65*I64*J22/100/100</f>
        <v>174.66623999999999</v>
      </c>
      <c r="E61" s="63" t="s">
        <v>222</v>
      </c>
    </row>
    <row r="64" spans="2:10">
      <c r="B64" s="171" t="s">
        <v>247</v>
      </c>
      <c r="C64" s="155"/>
      <c r="D64" s="155"/>
      <c r="E64" s="155"/>
      <c r="F64" s="155"/>
      <c r="G64" s="155"/>
      <c r="H64" s="155"/>
      <c r="I64" s="155">
        <v>7</v>
      </c>
      <c r="J64" s="155" t="s">
        <v>18</v>
      </c>
    </row>
    <row r="65" spans="2:10">
      <c r="B65" s="159" t="s">
        <v>248</v>
      </c>
      <c r="C65" s="157"/>
      <c r="D65" s="157"/>
      <c r="E65" s="157"/>
      <c r="F65" s="157"/>
      <c r="G65" s="157"/>
      <c r="H65" s="157"/>
      <c r="I65" s="157">
        <v>0.8</v>
      </c>
      <c r="J65" s="157" t="s">
        <v>18</v>
      </c>
    </row>
    <row r="68" spans="2:10">
      <c r="B68" s="153" t="s">
        <v>224</v>
      </c>
    </row>
    <row r="71" spans="2:10">
      <c r="E71" s="162">
        <f>(0.124+(F75/10000))^2*8760</f>
        <v>2786.4871820236176</v>
      </c>
      <c r="F71" t="s">
        <v>225</v>
      </c>
    </row>
    <row r="74" spans="2:10">
      <c r="D74" s="66"/>
    </row>
    <row r="75" spans="2:10">
      <c r="F75" s="162">
        <f>(SQRT((('1.2'!F29+'1.2'!F37)*'1.1'!O13)^2+(('1.2'!F39+'1.2'!F31)*'1.1'!O13)^2)/('1.2'!F33+'1.2'!F41))</f>
        <v>4399.9658160898725</v>
      </c>
      <c r="G75" t="s">
        <v>225</v>
      </c>
    </row>
    <row r="78" spans="2:10">
      <c r="B78" s="153" t="s">
        <v>228</v>
      </c>
    </row>
    <row r="80" spans="2:10">
      <c r="D80" s="41">
        <f>('1.5'!I219+'1.5'!I146)*'1.1'!O34*E71</f>
        <v>497.70847089726249</v>
      </c>
      <c r="E80" t="s">
        <v>222</v>
      </c>
    </row>
    <row r="82" spans="2:6">
      <c r="C82" t="s">
        <v>229</v>
      </c>
    </row>
    <row r="83" spans="2:6">
      <c r="C83" t="s">
        <v>230</v>
      </c>
    </row>
    <row r="86" spans="2:6">
      <c r="B86" s="153" t="s">
        <v>234</v>
      </c>
    </row>
    <row r="88" spans="2:6">
      <c r="E88" s="162">
        <f>D61+D53+D80</f>
        <v>3878.4252708972631</v>
      </c>
      <c r="F88" t="s">
        <v>222</v>
      </c>
    </row>
    <row r="91" spans="2:6">
      <c r="B91" s="66" t="s">
        <v>237</v>
      </c>
      <c r="C91" s="162">
        <f>D50+(E88/(1+'1.1'!O32/100))</f>
        <v>452294.87970615824</v>
      </c>
      <c r="D91" t="s">
        <v>222</v>
      </c>
    </row>
    <row r="101" spans="1:10" ht="18.75">
      <c r="B101" s="149" t="s">
        <v>238</v>
      </c>
    </row>
    <row r="103" spans="1:10">
      <c r="B103" s="154" t="s">
        <v>220</v>
      </c>
    </row>
    <row r="105" spans="1:10">
      <c r="A105" s="5"/>
      <c r="B105" s="79" t="s">
        <v>174</v>
      </c>
      <c r="C105" s="79" t="s">
        <v>209</v>
      </c>
      <c r="D105" s="79" t="s">
        <v>216</v>
      </c>
      <c r="E105" s="79" t="s">
        <v>210</v>
      </c>
      <c r="F105" s="79" t="s">
        <v>211</v>
      </c>
      <c r="G105" s="79" t="s">
        <v>182</v>
      </c>
      <c r="H105" s="82" t="s">
        <v>212</v>
      </c>
      <c r="I105" s="133" t="s">
        <v>240</v>
      </c>
      <c r="J105" s="150"/>
    </row>
    <row r="106" spans="1:10">
      <c r="A106" s="5"/>
      <c r="B106" s="81"/>
      <c r="C106" s="81"/>
      <c r="D106" s="81" t="s">
        <v>217</v>
      </c>
      <c r="E106" s="81" t="s">
        <v>179</v>
      </c>
      <c r="F106" s="81" t="s">
        <v>181</v>
      </c>
      <c r="G106" s="81" t="s">
        <v>183</v>
      </c>
      <c r="H106" s="83" t="s">
        <v>213</v>
      </c>
      <c r="I106" s="11" t="s">
        <v>214</v>
      </c>
      <c r="J106" s="11" t="s">
        <v>215</v>
      </c>
    </row>
    <row r="107" spans="1:10">
      <c r="B107" s="152" t="s">
        <v>188</v>
      </c>
      <c r="C107" s="137">
        <v>110</v>
      </c>
      <c r="D107" s="137" t="s">
        <v>218</v>
      </c>
      <c r="E107" s="137" t="s">
        <v>219</v>
      </c>
      <c r="F107" s="137">
        <v>1</v>
      </c>
      <c r="G107" s="137" t="s">
        <v>197</v>
      </c>
      <c r="H107" s="137">
        <f>'1.1'!G104</f>
        <v>28</v>
      </c>
      <c r="I107" s="137">
        <v>57</v>
      </c>
      <c r="J107" s="163">
        <f>I107*H113*H107*H114*F107</f>
        <v>76608</v>
      </c>
    </row>
    <row r="108" spans="1:10">
      <c r="B108" s="11" t="s">
        <v>189</v>
      </c>
      <c r="C108" s="89">
        <v>110</v>
      </c>
      <c r="D108" s="89" t="s">
        <v>218</v>
      </c>
      <c r="E108" s="89" t="s">
        <v>219</v>
      </c>
      <c r="F108" s="11">
        <v>1</v>
      </c>
      <c r="G108" s="11" t="s">
        <v>197</v>
      </c>
      <c r="H108" s="11">
        <f>'1.1'!H104</f>
        <v>29</v>
      </c>
      <c r="I108" s="11">
        <v>57</v>
      </c>
      <c r="J108" s="164">
        <f>I108*H113*H108*H114*F108</f>
        <v>79344</v>
      </c>
    </row>
    <row r="109" spans="1:10">
      <c r="B109" s="137" t="s">
        <v>239</v>
      </c>
      <c r="C109" s="137">
        <v>110</v>
      </c>
      <c r="D109" s="137" t="s">
        <v>218</v>
      </c>
      <c r="E109" s="170" t="s">
        <v>219</v>
      </c>
      <c r="F109" s="137">
        <v>1</v>
      </c>
      <c r="G109" s="137" t="s">
        <v>197</v>
      </c>
      <c r="H109" s="137">
        <f>'1.1'!K104</f>
        <v>35</v>
      </c>
      <c r="I109" s="137">
        <v>57</v>
      </c>
      <c r="J109" s="163">
        <f>I109*H113*H109*H114*F109</f>
        <v>95760</v>
      </c>
    </row>
    <row r="110" spans="1:10">
      <c r="I110" s="168" t="s">
        <v>199</v>
      </c>
      <c r="J110" s="169">
        <f>SUM(J107:J109)</f>
        <v>251712</v>
      </c>
    </row>
    <row r="113" spans="2:9">
      <c r="B113" s="161" t="s">
        <v>244</v>
      </c>
      <c r="C113" s="138"/>
      <c r="D113" s="138"/>
      <c r="E113" s="138"/>
      <c r="F113" s="155"/>
      <c r="G113" s="155"/>
      <c r="H113" s="138">
        <v>40</v>
      </c>
    </row>
    <row r="114" spans="2:9">
      <c r="B114" s="160" t="s">
        <v>243</v>
      </c>
      <c r="C114" s="157"/>
      <c r="D114" s="157"/>
      <c r="E114" s="157"/>
      <c r="F114" s="157"/>
      <c r="G114" s="157"/>
      <c r="H114" s="158">
        <v>1.2</v>
      </c>
    </row>
    <row r="118" spans="2:9">
      <c r="B118" s="154" t="s">
        <v>221</v>
      </c>
    </row>
    <row r="120" spans="2:9">
      <c r="E120" s="166">
        <f>H128+C124*C122*H113</f>
        <v>140480</v>
      </c>
      <c r="F120" t="s">
        <v>222</v>
      </c>
    </row>
    <row r="122" spans="2:9">
      <c r="C122">
        <v>430</v>
      </c>
      <c r="D122" t="s">
        <v>222</v>
      </c>
    </row>
    <row r="124" spans="2:9">
      <c r="C124" s="66">
        <v>2</v>
      </c>
      <c r="D124" t="s">
        <v>242</v>
      </c>
    </row>
    <row r="126" spans="2:9">
      <c r="C126">
        <v>3</v>
      </c>
      <c r="D126" t="s">
        <v>241</v>
      </c>
    </row>
    <row r="128" spans="2:9">
      <c r="H128" s="167">
        <f>(C124*C132+C124*C126*C130)*H113*H114</f>
        <v>106080</v>
      </c>
      <c r="I128" s="63" t="s">
        <v>222</v>
      </c>
    </row>
    <row r="130" spans="2:5">
      <c r="C130">
        <v>290</v>
      </c>
      <c r="D130" s="63" t="s">
        <v>222</v>
      </c>
    </row>
    <row r="132" spans="2:5">
      <c r="C132">
        <v>235</v>
      </c>
      <c r="D132" t="s">
        <v>222</v>
      </c>
      <c r="E132" t="s">
        <v>245</v>
      </c>
    </row>
    <row r="134" spans="2:5">
      <c r="B134" s="153" t="s">
        <v>223</v>
      </c>
    </row>
    <row r="136" spans="2:5">
      <c r="D136" s="162">
        <f>J110+E120</f>
        <v>392192</v>
      </c>
      <c r="E136" t="s">
        <v>222</v>
      </c>
    </row>
    <row r="140" spans="2:5" ht="15.75">
      <c r="B140" s="156" t="s">
        <v>231</v>
      </c>
    </row>
    <row r="142" spans="2:5">
      <c r="D142" s="162">
        <f>I146*H128*I145/100/100</f>
        <v>3317.1215999999999</v>
      </c>
      <c r="E142" s="63" t="s">
        <v>222</v>
      </c>
    </row>
    <row r="145" spans="2:10">
      <c r="B145" s="171" t="s">
        <v>246</v>
      </c>
      <c r="C145" s="155"/>
      <c r="D145" s="155"/>
      <c r="E145" s="155"/>
      <c r="F145" s="155"/>
      <c r="G145" s="155"/>
      <c r="H145" s="155"/>
      <c r="I145" s="155">
        <v>53</v>
      </c>
      <c r="J145" s="155" t="s">
        <v>18</v>
      </c>
    </row>
    <row r="146" spans="2:10">
      <c r="B146" s="159" t="s">
        <v>232</v>
      </c>
      <c r="C146" s="157"/>
      <c r="D146" s="157"/>
      <c r="E146" s="157"/>
      <c r="F146" s="157"/>
      <c r="G146" s="157"/>
      <c r="H146" s="157"/>
      <c r="I146" s="157">
        <v>5.9</v>
      </c>
      <c r="J146" s="157" t="s">
        <v>18</v>
      </c>
    </row>
    <row r="151" spans="2:10" ht="15.75">
      <c r="B151" s="156" t="s">
        <v>233</v>
      </c>
    </row>
    <row r="153" spans="2:10">
      <c r="D153" s="41">
        <f>I157*I156*J110/100/100</f>
        <v>140.95872</v>
      </c>
      <c r="E153" s="63" t="s">
        <v>222</v>
      </c>
    </row>
    <row r="156" spans="2:10">
      <c r="B156" s="171" t="s">
        <v>247</v>
      </c>
      <c r="C156" s="155"/>
      <c r="D156" s="155"/>
      <c r="E156" s="155"/>
      <c r="F156" s="155"/>
      <c r="G156" s="155"/>
      <c r="H156" s="155"/>
      <c r="I156" s="155">
        <v>7</v>
      </c>
      <c r="J156" s="155" t="s">
        <v>18</v>
      </c>
    </row>
    <row r="157" spans="2:10">
      <c r="B157" s="159" t="s">
        <v>248</v>
      </c>
      <c r="C157" s="157"/>
      <c r="D157" s="157"/>
      <c r="E157" s="157"/>
      <c r="F157" s="157"/>
      <c r="G157" s="157"/>
      <c r="H157" s="157"/>
      <c r="I157" s="157">
        <v>0.8</v>
      </c>
      <c r="J157" s="157" t="s">
        <v>18</v>
      </c>
    </row>
    <row r="160" spans="2:10">
      <c r="B160" s="153" t="s">
        <v>224</v>
      </c>
    </row>
    <row r="163" spans="2:7">
      <c r="E163" s="162">
        <f>(0.124+(F167/10000))^2*8760</f>
        <v>2786.4871820236176</v>
      </c>
      <c r="F163" t="s">
        <v>225</v>
      </c>
    </row>
    <row r="166" spans="2:7">
      <c r="D166" s="66"/>
    </row>
    <row r="167" spans="2:7">
      <c r="F167" s="162">
        <f>(SQRT((('1.2'!F29+'1.2'!F37)*'1.1'!O13)^2+(('1.2'!F31+'1.2'!F39)*'1.1'!O13)^2)/('1.2'!F33+'1.2'!F41))</f>
        <v>4399.9658160898725</v>
      </c>
      <c r="G167" t="s">
        <v>225</v>
      </c>
    </row>
    <row r="170" spans="2:7">
      <c r="B170" s="153" t="s">
        <v>228</v>
      </c>
    </row>
    <row r="172" spans="2:7">
      <c r="D172" s="41">
        <f>('1.5'!I146+'1.5'!I219)*'1.1'!O34*E163</f>
        <v>497.70847089726249</v>
      </c>
      <c r="E172" t="s">
        <v>222</v>
      </c>
    </row>
    <row r="174" spans="2:7">
      <c r="C174" t="s">
        <v>229</v>
      </c>
    </row>
    <row r="175" spans="2:7">
      <c r="C175" t="s">
        <v>230</v>
      </c>
    </row>
    <row r="178" spans="1:9">
      <c r="B178" s="153" t="s">
        <v>234</v>
      </c>
    </row>
    <row r="180" spans="1:9">
      <c r="E180" s="162">
        <f>D153+D142+D172</f>
        <v>3955.7887908972625</v>
      </c>
      <c r="F180" t="s">
        <v>222</v>
      </c>
    </row>
    <row r="183" spans="1:9">
      <c r="B183" s="66" t="s">
        <v>237</v>
      </c>
      <c r="C183" s="162">
        <f>D136+(E180/(1+'1.1'!O32/100))</f>
        <v>395723.95427758683</v>
      </c>
      <c r="D183" t="s">
        <v>222</v>
      </c>
    </row>
    <row r="186" spans="1:9" ht="18.75">
      <c r="B186" s="172" t="s">
        <v>249</v>
      </c>
    </row>
    <row r="188" spans="1:9">
      <c r="A188" s="5"/>
      <c r="H188" s="5"/>
      <c r="I188" s="5"/>
    </row>
    <row r="189" spans="1:9">
      <c r="D189" s="173" t="s">
        <v>250</v>
      </c>
      <c r="E189" s="11" t="s">
        <v>252</v>
      </c>
      <c r="F189" s="11" t="s">
        <v>253</v>
      </c>
      <c r="G189" s="11" t="s">
        <v>254</v>
      </c>
      <c r="H189" s="173" t="s">
        <v>251</v>
      </c>
    </row>
    <row r="190" spans="1:9">
      <c r="D190" s="137" t="s">
        <v>255</v>
      </c>
      <c r="E190" s="163">
        <f>J22</f>
        <v>311904</v>
      </c>
      <c r="F190" s="163">
        <f>E31</f>
        <v>136928</v>
      </c>
      <c r="G190" s="174">
        <f>E88</f>
        <v>3878.4252708972631</v>
      </c>
      <c r="H190" s="174">
        <f>C91</f>
        <v>452294.87970615824</v>
      </c>
    </row>
    <row r="191" spans="1:9">
      <c r="C191" s="5"/>
      <c r="D191" s="11" t="s">
        <v>256</v>
      </c>
      <c r="E191" s="164">
        <f>J110</f>
        <v>251712</v>
      </c>
      <c r="F191" s="164">
        <f>E120</f>
        <v>140480</v>
      </c>
      <c r="G191" s="175">
        <f>E180</f>
        <v>3955.7887908972625</v>
      </c>
      <c r="H191" s="175">
        <f>C183</f>
        <v>395723.95427758683</v>
      </c>
    </row>
    <row r="193" spans="3:8">
      <c r="C193" t="s">
        <v>257</v>
      </c>
    </row>
    <row r="196" spans="3:8">
      <c r="F196" s="176">
        <f>((H190-H191)/H190)*100</f>
        <v>12.507531693775478</v>
      </c>
      <c r="G196" t="s">
        <v>18</v>
      </c>
      <c r="H196" s="176"/>
    </row>
    <row r="199" spans="3:8">
      <c r="C199" t="s">
        <v>263</v>
      </c>
      <c r="H199" t="str">
        <f>IF(H190&gt;H191,"кольцевая схема","радиальная схема")</f>
        <v>кольцевая схема</v>
      </c>
    </row>
  </sheetData>
  <pageMargins left="0.55208333333333337" right="2.0833333333333332E-2" top="0.75" bottom="0.75" header="0.3" footer="0.3"/>
  <pageSetup paperSize="9" orientation="portrait" horizontalDpi="300" verticalDpi="300" r:id="rId1"/>
  <drawing r:id="rId2"/>
  <legacyDrawing r:id="rId3"/>
  <oleObjects>
    <oleObject progId="Equation.3" shapeId="6145" r:id="rId4"/>
    <oleObject progId="Equation.3" shapeId="6147" r:id="rId5"/>
    <oleObject progId="Equation.3" shapeId="6148" r:id="rId6"/>
    <oleObject progId="Equation.3" shapeId="6220" r:id="rId7"/>
    <oleObject progId="Equation.3" shapeId="6221" r:id="rId8"/>
  </oleObjects>
</worksheet>
</file>

<file path=xl/worksheets/sheet11.xml><?xml version="1.0" encoding="utf-8"?>
<worksheet xmlns="http://schemas.openxmlformats.org/spreadsheetml/2006/main" xmlns:r="http://schemas.openxmlformats.org/officeDocument/2006/relationships">
  <dimension ref="A23:O91"/>
  <sheetViews>
    <sheetView tabSelected="1" view="pageLayout" topLeftCell="A67" zoomScale="85" zoomScalePageLayoutView="85" workbookViewId="0">
      <selection activeCell="O397" sqref="O397:O398"/>
    </sheetView>
  </sheetViews>
  <sheetFormatPr defaultRowHeight="15"/>
  <cols>
    <col min="1" max="1" width="4.85546875" customWidth="1"/>
    <col min="2" max="2" width="6" customWidth="1"/>
    <col min="3" max="3" width="18" customWidth="1"/>
    <col min="4" max="4" width="5.5703125" customWidth="1"/>
    <col min="5" max="5" width="6.5703125" customWidth="1"/>
    <col min="6" max="6" width="5.42578125" customWidth="1"/>
    <col min="7" max="7" width="6.140625" customWidth="1"/>
    <col min="8" max="8" width="6.28515625" customWidth="1"/>
    <col min="9" max="9" width="5.42578125" customWidth="1"/>
    <col min="10" max="10" width="5.28515625" customWidth="1"/>
    <col min="11" max="11" width="5.42578125" customWidth="1"/>
    <col min="12" max="12" width="5.28515625" customWidth="1"/>
    <col min="13" max="13" width="6.85546875" customWidth="1"/>
    <col min="14" max="15" width="5.42578125" customWidth="1"/>
    <col min="16" max="16" width="2.28515625" customWidth="1"/>
  </cols>
  <sheetData>
    <row r="23" spans="6:10">
      <c r="J23" s="212">
        <f>'1.1'!O18</f>
        <v>1.06</v>
      </c>
    </row>
    <row r="24" spans="6:10">
      <c r="F24" s="190">
        <f>'1.1'!O19</f>
        <v>1.01</v>
      </c>
    </row>
    <row r="52" spans="1:15">
      <c r="A52" s="187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</row>
    <row r="53" spans="1:15">
      <c r="A53" s="187"/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</row>
    <row r="54" spans="1:15">
      <c r="A54" s="187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</row>
    <row r="55" spans="1:15">
      <c r="A55" s="187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</row>
    <row r="56" spans="1:15">
      <c r="A56" s="187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</row>
    <row r="57" spans="1:15">
      <c r="A57" s="191"/>
      <c r="B57" s="209" t="s">
        <v>105</v>
      </c>
      <c r="C57" s="191"/>
      <c r="D57" s="191" t="s">
        <v>112</v>
      </c>
      <c r="E57" s="194"/>
      <c r="F57" s="208"/>
      <c r="G57" s="196"/>
      <c r="H57" s="191"/>
      <c r="I57" s="191"/>
      <c r="J57" s="194"/>
      <c r="K57" s="202"/>
      <c r="L57" s="203"/>
      <c r="M57" s="206"/>
      <c r="N57" s="202"/>
      <c r="O57" s="203"/>
    </row>
    <row r="58" spans="1:15" ht="15.75">
      <c r="A58" s="200" t="s">
        <v>1</v>
      </c>
      <c r="B58" s="210" t="s">
        <v>106</v>
      </c>
      <c r="C58" s="192"/>
      <c r="D58" s="192" t="s">
        <v>108</v>
      </c>
      <c r="E58" s="195"/>
      <c r="F58" s="197"/>
      <c r="G58" s="198"/>
      <c r="H58" s="199"/>
      <c r="I58" s="199"/>
      <c r="J58" s="195"/>
      <c r="K58" s="204"/>
      <c r="L58" s="205"/>
      <c r="M58" s="207"/>
      <c r="N58" s="204"/>
      <c r="O58" s="205"/>
    </row>
    <row r="59" spans="1:15">
      <c r="A59" s="193"/>
      <c r="B59" s="211" t="s">
        <v>107</v>
      </c>
      <c r="C59" s="193"/>
      <c r="D59" s="193" t="s">
        <v>44</v>
      </c>
      <c r="E59" s="188" t="s">
        <v>109</v>
      </c>
      <c r="F59" s="188" t="s">
        <v>110</v>
      </c>
      <c r="G59" s="188" t="s">
        <v>111</v>
      </c>
      <c r="H59" s="193" t="s">
        <v>113</v>
      </c>
      <c r="I59" s="193" t="s">
        <v>114</v>
      </c>
      <c r="J59" s="188" t="s">
        <v>109</v>
      </c>
      <c r="K59" s="201" t="s">
        <v>110</v>
      </c>
      <c r="L59" s="201" t="s">
        <v>111</v>
      </c>
      <c r="M59" s="201" t="s">
        <v>109</v>
      </c>
      <c r="N59" s="201" t="s">
        <v>110</v>
      </c>
      <c r="O59" s="201" t="s">
        <v>111</v>
      </c>
    </row>
    <row r="60" spans="1:15">
      <c r="A60" s="217">
        <v>1</v>
      </c>
      <c r="B60" s="217">
        <v>2</v>
      </c>
      <c r="C60" s="227" t="s">
        <v>207</v>
      </c>
      <c r="D60" s="217">
        <v>125</v>
      </c>
      <c r="E60" s="217">
        <v>230</v>
      </c>
      <c r="F60" s="217">
        <v>121</v>
      </c>
      <c r="G60" s="217">
        <v>10.5</v>
      </c>
      <c r="H60" s="217">
        <v>65</v>
      </c>
      <c r="I60" s="217">
        <v>625</v>
      </c>
      <c r="J60" s="225">
        <v>0.52</v>
      </c>
      <c r="K60" s="225">
        <v>0.52</v>
      </c>
      <c r="L60" s="226">
        <v>3.2</v>
      </c>
      <c r="M60" s="226">
        <v>49</v>
      </c>
      <c r="N60" s="217">
        <v>0</v>
      </c>
      <c r="O60" s="217">
        <v>131</v>
      </c>
    </row>
    <row r="61" spans="1:15">
      <c r="A61" s="214">
        <v>1</v>
      </c>
      <c r="B61" s="214">
        <v>2</v>
      </c>
      <c r="C61" s="215" t="s">
        <v>268</v>
      </c>
      <c r="D61" s="214">
        <v>40</v>
      </c>
      <c r="E61" s="214">
        <f>G60</f>
        <v>10.5</v>
      </c>
      <c r="F61" s="214"/>
      <c r="G61" s="214">
        <v>11</v>
      </c>
      <c r="H61" s="214">
        <v>18.5</v>
      </c>
      <c r="I61" s="214"/>
      <c r="J61" s="214"/>
      <c r="K61" s="214"/>
      <c r="L61" s="214"/>
      <c r="M61" s="214"/>
      <c r="N61" s="214"/>
      <c r="O61" s="214">
        <v>0.03</v>
      </c>
    </row>
    <row r="62" spans="1:15">
      <c r="A62" s="217">
        <v>2</v>
      </c>
      <c r="B62" s="217">
        <v>2</v>
      </c>
      <c r="C62" s="224" t="s">
        <v>204</v>
      </c>
      <c r="D62" s="217">
        <v>25</v>
      </c>
      <c r="E62" s="217">
        <v>115</v>
      </c>
      <c r="F62" s="217"/>
      <c r="G62" s="217">
        <v>10.5</v>
      </c>
      <c r="H62" s="217">
        <v>27</v>
      </c>
      <c r="I62" s="217">
        <v>175</v>
      </c>
      <c r="J62" s="225">
        <v>2.54</v>
      </c>
      <c r="K62" s="217"/>
      <c r="L62" s="217"/>
      <c r="M62" s="217">
        <v>55.9</v>
      </c>
      <c r="N62" s="217"/>
      <c r="O62" s="217"/>
    </row>
    <row r="63" spans="1:15">
      <c r="A63" s="214">
        <v>3</v>
      </c>
      <c r="B63" s="214">
        <v>2</v>
      </c>
      <c r="C63" s="215" t="s">
        <v>205</v>
      </c>
      <c r="D63" s="214">
        <v>16</v>
      </c>
      <c r="E63" s="214">
        <v>115</v>
      </c>
      <c r="F63" s="214"/>
      <c r="G63" s="214">
        <v>11</v>
      </c>
      <c r="H63" s="214">
        <v>19</v>
      </c>
      <c r="I63" s="214">
        <v>112</v>
      </c>
      <c r="J63" s="222">
        <v>4.38</v>
      </c>
      <c r="K63" s="214"/>
      <c r="L63" s="214"/>
      <c r="M63" s="223">
        <v>86.7</v>
      </c>
      <c r="N63" s="214"/>
      <c r="O63" s="214"/>
    </row>
    <row r="64" spans="1:15">
      <c r="A64" s="217">
        <v>4</v>
      </c>
      <c r="B64" s="217">
        <v>2</v>
      </c>
      <c r="C64" s="224" t="s">
        <v>206</v>
      </c>
      <c r="D64" s="217">
        <v>10</v>
      </c>
      <c r="E64" s="217">
        <v>115</v>
      </c>
      <c r="F64" s="217"/>
      <c r="G64" s="217">
        <v>11</v>
      </c>
      <c r="H64" s="217">
        <v>14</v>
      </c>
      <c r="I64" s="217">
        <v>70</v>
      </c>
      <c r="J64" s="225">
        <v>7.95</v>
      </c>
      <c r="K64" s="217"/>
      <c r="L64" s="217"/>
      <c r="M64" s="217">
        <v>139</v>
      </c>
      <c r="N64" s="217"/>
      <c r="O64" s="217"/>
    </row>
    <row r="65" spans="1:15">
      <c r="A65" s="187"/>
      <c r="B65" s="187"/>
      <c r="C65" s="187"/>
      <c r="D65" s="187"/>
      <c r="E65" s="187"/>
      <c r="F65" s="187"/>
      <c r="G65" s="187"/>
      <c r="H65" s="187"/>
      <c r="I65" s="187"/>
      <c r="J65" s="186"/>
      <c r="K65" s="186"/>
      <c r="L65" s="186"/>
      <c r="M65" s="186"/>
      <c r="N65" s="186"/>
      <c r="O65" s="186"/>
    </row>
    <row r="66" spans="1:15">
      <c r="A66" s="187"/>
      <c r="B66" s="187"/>
      <c r="C66" s="187"/>
      <c r="D66" s="187"/>
      <c r="E66" s="187"/>
      <c r="F66" s="187"/>
      <c r="G66" s="187"/>
      <c r="H66" s="187"/>
      <c r="I66" s="187"/>
      <c r="J66" s="186"/>
      <c r="K66" s="186"/>
      <c r="L66" s="186"/>
      <c r="M66" s="186"/>
      <c r="N66" s="186"/>
      <c r="O66" s="186"/>
    </row>
    <row r="67" spans="1:15">
      <c r="A67" s="187"/>
      <c r="B67" s="187"/>
      <c r="C67" s="187"/>
      <c r="D67" s="186"/>
      <c r="E67" s="187"/>
      <c r="F67" s="187"/>
      <c r="G67" s="187"/>
      <c r="H67" s="187"/>
      <c r="I67" s="187"/>
      <c r="J67" s="186"/>
      <c r="K67" s="186"/>
      <c r="L67" s="186"/>
      <c r="M67" s="186"/>
      <c r="N67" s="186"/>
      <c r="O67" s="186"/>
    </row>
    <row r="68" spans="1:15">
      <c r="A68" s="187"/>
      <c r="B68" s="187"/>
      <c r="C68" s="186" t="s">
        <v>277</v>
      </c>
      <c r="D68" s="186"/>
      <c r="E68" s="187"/>
      <c r="F68" s="187"/>
      <c r="G68" s="187"/>
      <c r="H68" s="187"/>
      <c r="I68" s="187"/>
      <c r="J68" s="186"/>
      <c r="K68" s="186"/>
      <c r="L68" s="186"/>
      <c r="M68" s="186"/>
      <c r="N68" s="186"/>
      <c r="O68" s="186"/>
    </row>
    <row r="69" spans="1:15">
      <c r="A69" s="187"/>
      <c r="B69" s="187"/>
      <c r="C69" s="187"/>
      <c r="D69" s="186"/>
      <c r="E69" s="187"/>
      <c r="F69" s="187"/>
      <c r="G69" s="187"/>
      <c r="H69" s="187"/>
      <c r="I69" s="187"/>
      <c r="J69" s="186"/>
      <c r="K69" s="186"/>
      <c r="L69" s="186"/>
      <c r="M69" s="186"/>
      <c r="N69" s="186"/>
      <c r="O69" s="186"/>
    </row>
    <row r="70" spans="1:15">
      <c r="A70" s="187"/>
      <c r="B70" s="187"/>
      <c r="C70" s="187"/>
      <c r="D70" s="186"/>
      <c r="E70" s="187"/>
      <c r="F70" s="187"/>
      <c r="G70" s="187"/>
      <c r="H70" s="187"/>
      <c r="I70" s="187"/>
      <c r="J70" s="186"/>
      <c r="K70" s="186"/>
      <c r="L70" s="186"/>
      <c r="M70" s="186"/>
      <c r="N70" s="186"/>
      <c r="O70" s="186"/>
    </row>
    <row r="71" spans="1:15" ht="15.75">
      <c r="A71" s="187"/>
      <c r="B71" s="238" t="s">
        <v>1</v>
      </c>
      <c r="C71" s="191" t="s">
        <v>269</v>
      </c>
      <c r="D71" s="206" t="s">
        <v>272</v>
      </c>
      <c r="E71" s="202"/>
      <c r="F71" s="202"/>
      <c r="G71" s="203"/>
      <c r="H71" s="191" t="s">
        <v>270</v>
      </c>
      <c r="I71" s="229" t="s">
        <v>271</v>
      </c>
      <c r="J71" s="202"/>
      <c r="K71" s="203"/>
      <c r="L71" s="229" t="s">
        <v>271</v>
      </c>
      <c r="M71" s="202"/>
      <c r="N71" s="202"/>
      <c r="O71" s="203"/>
    </row>
    <row r="72" spans="1:15">
      <c r="A72" s="216"/>
      <c r="B72" s="193"/>
      <c r="C72" s="228"/>
      <c r="D72" s="207"/>
      <c r="E72" s="204"/>
      <c r="F72" s="204"/>
      <c r="G72" s="205"/>
      <c r="H72" s="228"/>
      <c r="I72" s="230" t="s">
        <v>276</v>
      </c>
      <c r="J72" s="204"/>
      <c r="K72" s="205"/>
      <c r="L72" s="230" t="s">
        <v>282</v>
      </c>
      <c r="M72" s="204"/>
      <c r="N72" s="204"/>
      <c r="O72" s="205"/>
    </row>
    <row r="73" spans="1:15">
      <c r="A73" s="187"/>
      <c r="B73" s="217">
        <v>1</v>
      </c>
      <c r="C73" s="227" t="str">
        <f>C60</f>
        <v>АТДЦТН-125000/220/110</v>
      </c>
      <c r="D73" s="231"/>
      <c r="E73" s="232" t="s">
        <v>273</v>
      </c>
      <c r="F73" s="233">
        <v>2</v>
      </c>
      <c r="G73" s="234" t="s">
        <v>18</v>
      </c>
      <c r="H73" s="242">
        <f>F60/E60</f>
        <v>0.52608695652173909</v>
      </c>
      <c r="I73" s="247"/>
      <c r="J73" s="248">
        <f>F60*F73/100</f>
        <v>2.42</v>
      </c>
      <c r="K73" s="249"/>
      <c r="L73" s="247"/>
      <c r="M73" s="266">
        <f>H73*J73/F60</f>
        <v>1.0521739130434781E-2</v>
      </c>
      <c r="N73" s="250"/>
      <c r="O73" s="249"/>
    </row>
    <row r="74" spans="1:15">
      <c r="A74" s="187"/>
      <c r="B74" s="214">
        <v>1</v>
      </c>
      <c r="C74" s="215" t="str">
        <f>C61</f>
        <v>ЛТДН - 40000/10</v>
      </c>
      <c r="D74" s="235"/>
      <c r="E74" s="236" t="s">
        <v>274</v>
      </c>
      <c r="F74" s="236">
        <v>1.5</v>
      </c>
      <c r="G74" s="237" t="s">
        <v>18</v>
      </c>
      <c r="H74" s="243">
        <f>G61/E61</f>
        <v>1.0476190476190477</v>
      </c>
      <c r="I74" s="251"/>
      <c r="J74" s="252">
        <f>G61*F74/100</f>
        <v>0.16500000000000001</v>
      </c>
      <c r="K74" s="253"/>
      <c r="L74" s="251"/>
      <c r="M74" s="265">
        <f>H74*J74/G61</f>
        <v>1.5714285714285715E-2</v>
      </c>
      <c r="N74" s="252"/>
      <c r="O74" s="253"/>
    </row>
    <row r="75" spans="1:15">
      <c r="A75" s="187"/>
      <c r="B75" s="217">
        <v>2</v>
      </c>
      <c r="C75" s="224" t="str">
        <f>C62</f>
        <v>ТРДН-25000/110/10,5</v>
      </c>
      <c r="D75" s="231"/>
      <c r="E75" s="233" t="s">
        <v>275</v>
      </c>
      <c r="F75" s="233">
        <v>1.78</v>
      </c>
      <c r="G75" s="234" t="s">
        <v>18</v>
      </c>
      <c r="H75" s="242">
        <f>G62/E62</f>
        <v>9.1304347826086957E-2</v>
      </c>
      <c r="I75" s="247"/>
      <c r="J75" s="250">
        <f>G62*F75/100</f>
        <v>0.18690000000000001</v>
      </c>
      <c r="K75" s="249"/>
      <c r="L75" s="247"/>
      <c r="M75" s="266">
        <f>H75*J75/G62</f>
        <v>1.6252173913043478E-3</v>
      </c>
      <c r="N75" s="250"/>
      <c r="O75" s="249"/>
    </row>
    <row r="76" spans="1:15">
      <c r="A76" s="187"/>
      <c r="B76" s="214">
        <v>3</v>
      </c>
      <c r="C76" s="215" t="str">
        <f>C63</f>
        <v>ТДН-16000/110/11</v>
      </c>
      <c r="D76" s="235"/>
      <c r="E76" s="236" t="s">
        <v>275</v>
      </c>
      <c r="F76" s="236">
        <v>1.78</v>
      </c>
      <c r="G76" s="237" t="s">
        <v>18</v>
      </c>
      <c r="H76" s="243">
        <f>G63/E63</f>
        <v>9.5652173913043481E-2</v>
      </c>
      <c r="I76" s="251"/>
      <c r="J76" s="252">
        <f>G63*F76/100</f>
        <v>0.19580000000000003</v>
      </c>
      <c r="K76" s="253"/>
      <c r="L76" s="251"/>
      <c r="M76" s="265">
        <f>H76*J76/G63</f>
        <v>1.7026086956521741E-3</v>
      </c>
      <c r="N76" s="252"/>
      <c r="O76" s="253"/>
    </row>
    <row r="77" spans="1:15">
      <c r="A77" s="187"/>
      <c r="B77" s="217">
        <v>4</v>
      </c>
      <c r="C77" s="224" t="str">
        <f>C64</f>
        <v>ТДН-10000/110/11</v>
      </c>
      <c r="D77" s="231"/>
      <c r="E77" s="233" t="s">
        <v>275</v>
      </c>
      <c r="F77" s="233">
        <v>1.78</v>
      </c>
      <c r="G77" s="234" t="s">
        <v>18</v>
      </c>
      <c r="H77" s="242">
        <f>G64/E64</f>
        <v>9.5652173913043481E-2</v>
      </c>
      <c r="I77" s="247"/>
      <c r="J77" s="250">
        <f>G64*F77/100</f>
        <v>0.19580000000000003</v>
      </c>
      <c r="K77" s="249"/>
      <c r="L77" s="247"/>
      <c r="M77" s="266">
        <f>H77*J77/G64</f>
        <v>1.7026086956521741E-3</v>
      </c>
      <c r="N77" s="250"/>
      <c r="O77" s="249"/>
    </row>
    <row r="78" spans="1:15">
      <c r="A78" s="187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</row>
    <row r="79" spans="1:15">
      <c r="A79" s="187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</row>
    <row r="80" spans="1:15">
      <c r="A80" s="187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</row>
    <row r="81" spans="1:15">
      <c r="A81" s="187"/>
      <c r="B81" s="186"/>
      <c r="C81" s="186" t="s">
        <v>278</v>
      </c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</row>
    <row r="82" spans="1:15">
      <c r="A82" s="187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</row>
    <row r="83" spans="1:15">
      <c r="A83" s="187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</row>
    <row r="84" spans="1:15" ht="15.75">
      <c r="A84" s="187"/>
      <c r="B84" s="238" t="s">
        <v>1</v>
      </c>
      <c r="C84" s="191" t="s">
        <v>269</v>
      </c>
      <c r="D84" s="183" t="s">
        <v>283</v>
      </c>
      <c r="E84" s="184"/>
      <c r="F84" s="184"/>
      <c r="G84" s="184"/>
      <c r="H84" s="185"/>
      <c r="I84" s="184"/>
      <c r="J84" s="184"/>
      <c r="K84" s="184"/>
      <c r="L84" s="184"/>
      <c r="M84" s="184"/>
      <c r="N84" s="184"/>
      <c r="O84" s="185"/>
    </row>
    <row r="85" spans="1:15">
      <c r="A85" s="187"/>
      <c r="B85" s="193"/>
      <c r="C85" s="207"/>
      <c r="D85" s="193" t="s">
        <v>3</v>
      </c>
      <c r="E85" s="193" t="s">
        <v>270</v>
      </c>
      <c r="F85" s="193" t="s">
        <v>4</v>
      </c>
      <c r="G85" s="193" t="s">
        <v>270</v>
      </c>
      <c r="H85" s="193" t="s">
        <v>279</v>
      </c>
      <c r="I85" s="193" t="s">
        <v>270</v>
      </c>
      <c r="J85" s="193" t="s">
        <v>280</v>
      </c>
      <c r="K85" s="193" t="s">
        <v>270</v>
      </c>
      <c r="L85" s="193" t="s">
        <v>281</v>
      </c>
      <c r="M85" s="193" t="s">
        <v>270</v>
      </c>
      <c r="N85" s="193" t="s">
        <v>318</v>
      </c>
      <c r="O85" s="193" t="s">
        <v>270</v>
      </c>
    </row>
    <row r="86" spans="1:15">
      <c r="A86" s="187"/>
      <c r="B86" s="217">
        <v>1</v>
      </c>
      <c r="C86" s="239" t="str">
        <f>C60</f>
        <v>АТДЦТН-125000/220/110</v>
      </c>
      <c r="D86" s="245">
        <f>(E86-H73)/M73</f>
        <v>5.9999999999999813</v>
      </c>
      <c r="E86" s="242">
        <f>H73+M73+M73+M73+M73+M73+M73</f>
        <v>0.58921739130434758</v>
      </c>
      <c r="F86" s="245">
        <f>(G86-H73)/M73</f>
        <v>5.9999999999999813</v>
      </c>
      <c r="G86" s="242">
        <f>H73+M73++M73+M73+M73+M73+M73</f>
        <v>0.58921739130434758</v>
      </c>
      <c r="H86" s="217">
        <f>(I86-H73)/M73</f>
        <v>5.9999999999999813</v>
      </c>
      <c r="I86" s="242">
        <f>H73+M73+M73+M73+M73+M73+M73</f>
        <v>0.58921739130434758</v>
      </c>
      <c r="J86" s="217">
        <f>(K86-H73)/M73</f>
        <v>5.9999999999999813</v>
      </c>
      <c r="K86" s="242">
        <f>H73+M73+M73+M73+M73+M73+M73</f>
        <v>0.58921739130434758</v>
      </c>
      <c r="L86" s="217">
        <f>(M86-H73)/M73</f>
        <v>5.9999999999999813</v>
      </c>
      <c r="M86" s="242">
        <f>H73+M73+M73+M73+M73+M73+M73</f>
        <v>0.58921739130434758</v>
      </c>
      <c r="N86" s="217">
        <f>(O86-H73)/M73</f>
        <v>5.9999999999999813</v>
      </c>
      <c r="O86" s="242">
        <f>H73+M73+M73+M73+M73+M73+M73</f>
        <v>0.58921739130434758</v>
      </c>
    </row>
    <row r="87" spans="1:15">
      <c r="A87" s="187"/>
      <c r="B87" s="214">
        <v>1</v>
      </c>
      <c r="C87" s="240" t="str">
        <f>C61</f>
        <v>ЛТДН - 40000/10</v>
      </c>
      <c r="D87" s="244">
        <f>(E87-H74)/M74</f>
        <v>10.000000000000048</v>
      </c>
      <c r="E87" s="243">
        <f>H74+M74+M74+M74+M74+M74+M74+M74+M74+M74+M74</f>
        <v>1.2047619047619056</v>
      </c>
      <c r="F87" s="244">
        <f>(G87-H74)/M74</f>
        <v>10.000000000000048</v>
      </c>
      <c r="G87" s="243">
        <f>H74+M74+M74+M74+M74+M74+M74+M74+M74+M74+M74</f>
        <v>1.2047619047619056</v>
      </c>
      <c r="H87" s="244">
        <f>(I87-H74)/M74</f>
        <v>1.0000000000000049</v>
      </c>
      <c r="I87" s="243">
        <f>H74+M74</f>
        <v>1.0633333333333335</v>
      </c>
      <c r="J87" s="214">
        <f>(K87-H74)/M74</f>
        <v>-1.0000000000000049</v>
      </c>
      <c r="K87" s="243">
        <f>H74-M74</f>
        <v>1.0319047619047619</v>
      </c>
      <c r="L87" s="214">
        <f>(M87-H74)/M74</f>
        <v>10.000000000000048</v>
      </c>
      <c r="M87" s="243">
        <f>H74+M74+M74+M74+M74+M74+M74+M74+M74+M74+M74</f>
        <v>1.2047619047619056</v>
      </c>
      <c r="N87" s="214">
        <f>(O87-H74)/M74</f>
        <v>10.000000000000048</v>
      </c>
      <c r="O87" s="243">
        <f>H74+M74+M74+M74+M74+M74+M74+M74+M74+M74+M74</f>
        <v>1.2047619047619056</v>
      </c>
    </row>
    <row r="88" spans="1:15">
      <c r="A88" s="187"/>
      <c r="B88" s="217">
        <v>2</v>
      </c>
      <c r="C88" s="241" t="str">
        <f>C62</f>
        <v>ТРДН-25000/110/10,5</v>
      </c>
      <c r="D88" s="245">
        <f>(E88-H75)/M75</f>
        <v>1.0000000000000002</v>
      </c>
      <c r="E88" s="242">
        <f>H75+M75</f>
        <v>9.2929565217391305E-2</v>
      </c>
      <c r="F88" s="245">
        <f>(G88-H75)/M75</f>
        <v>-2.0000000000000004</v>
      </c>
      <c r="G88" s="242">
        <f>H75-M75-M75</f>
        <v>8.805391304347826E-2</v>
      </c>
      <c r="H88" s="217">
        <f>(I88-H75)/M75</f>
        <v>0</v>
      </c>
      <c r="I88" s="242">
        <f>H75</f>
        <v>9.1304347826086957E-2</v>
      </c>
      <c r="J88" s="217">
        <f>(K88-H75)/M75</f>
        <v>1.0000000000000002</v>
      </c>
      <c r="K88" s="242">
        <f>H75+M75</f>
        <v>9.2929565217391305E-2</v>
      </c>
      <c r="L88" s="217">
        <f>(M88-H75)/M75</f>
        <v>1.0000000000000002</v>
      </c>
      <c r="M88" s="242">
        <f>H75+M75</f>
        <v>9.2929565217391305E-2</v>
      </c>
      <c r="N88" s="217">
        <f>(O88-H75)/M75</f>
        <v>4.0000000000000009</v>
      </c>
      <c r="O88" s="242">
        <f>H75+M75+M75+M75+M75</f>
        <v>9.780521739130435E-2</v>
      </c>
    </row>
    <row r="89" spans="1:15">
      <c r="A89" s="187"/>
      <c r="B89" s="214">
        <v>3</v>
      </c>
      <c r="C89" s="240" t="str">
        <f>C63</f>
        <v>ТДН-16000/110/11</v>
      </c>
      <c r="D89" s="244">
        <f>(E89-H76)/M76</f>
        <v>0.99999999999999711</v>
      </c>
      <c r="E89" s="243">
        <f>H76+M76</f>
        <v>9.735478260869565E-2</v>
      </c>
      <c r="F89" s="244">
        <f>(G89-H76)/M76</f>
        <v>-2.9999999999999911</v>
      </c>
      <c r="G89" s="243">
        <f>H76-M76-M76-M76</f>
        <v>9.0544347826086974E-2</v>
      </c>
      <c r="H89" s="214">
        <f>(I89-H76)/M76</f>
        <v>-0.99999999999999711</v>
      </c>
      <c r="I89" s="243">
        <f>H76-M76</f>
        <v>9.3949565217391312E-2</v>
      </c>
      <c r="J89" s="214">
        <f>(K89-H76)/M76</f>
        <v>0</v>
      </c>
      <c r="K89" s="243">
        <f>H76</f>
        <v>9.5652173913043481E-2</v>
      </c>
      <c r="L89" s="214">
        <f>(M89-H76)/M76</f>
        <v>0.99999999999999711</v>
      </c>
      <c r="M89" s="243">
        <f>H76+M76</f>
        <v>9.735478260869565E-2</v>
      </c>
      <c r="N89" s="214">
        <f>(O89-H76)/M76</f>
        <v>0.99999999999999711</v>
      </c>
      <c r="O89" s="243">
        <f>H76+M76</f>
        <v>9.735478260869565E-2</v>
      </c>
    </row>
    <row r="90" spans="1:15">
      <c r="A90" s="187"/>
      <c r="B90" s="217">
        <v>4</v>
      </c>
      <c r="C90" s="241" t="str">
        <f>C64</f>
        <v>ТДН-10000/110/11</v>
      </c>
      <c r="D90" s="245">
        <f>(E90-H77)/M77</f>
        <v>0</v>
      </c>
      <c r="E90" s="242">
        <f>H77</f>
        <v>9.5652173913043481E-2</v>
      </c>
      <c r="F90" s="245">
        <f>(G90-H77)/M77</f>
        <v>-2.9999999999999911</v>
      </c>
      <c r="G90" s="242">
        <f>H77-M77-M77-M77</f>
        <v>9.0544347826086974E-2</v>
      </c>
      <c r="H90" s="217">
        <f>(I90-H77)/M77</f>
        <v>-0.99999999999999711</v>
      </c>
      <c r="I90" s="242">
        <f>H77-M77</f>
        <v>9.3949565217391312E-2</v>
      </c>
      <c r="J90" s="217">
        <f>(K90-H77)/M77</f>
        <v>0</v>
      </c>
      <c r="K90" s="242">
        <f>H77</f>
        <v>9.5652173913043481E-2</v>
      </c>
      <c r="L90" s="217">
        <f>(M90-H77)/M77</f>
        <v>1.9999999999999942</v>
      </c>
      <c r="M90" s="242">
        <f>H77+M77+M77</f>
        <v>9.9057391304347819E-2</v>
      </c>
      <c r="N90" s="217">
        <f>(O90-H77)/M77</f>
        <v>0</v>
      </c>
      <c r="O90" s="242">
        <f>H77</f>
        <v>9.5652173913043481E-2</v>
      </c>
    </row>
    <row r="91" spans="1:15">
      <c r="A91" s="187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</row>
  </sheetData>
  <pageMargins left="0.41666666666666669" right="1.0416666666666666E-2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2:J148"/>
  <sheetViews>
    <sheetView view="pageLayout" topLeftCell="A104" workbookViewId="0">
      <selection activeCell="H138" sqref="H138"/>
    </sheetView>
  </sheetViews>
  <sheetFormatPr defaultRowHeight="15"/>
  <cols>
    <col min="1" max="1" width="5.42578125" style="5" customWidth="1"/>
    <col min="2" max="2" width="9.140625" style="5"/>
    <col min="3" max="3" width="11.42578125" style="5" bestFit="1" customWidth="1"/>
    <col min="4" max="4" width="12.42578125" style="5" bestFit="1" customWidth="1"/>
    <col min="5" max="5" width="10.42578125" style="5" bestFit="1" customWidth="1"/>
    <col min="6" max="6" width="12.28515625" style="5" bestFit="1" customWidth="1"/>
    <col min="7" max="7" width="12" style="5" bestFit="1" customWidth="1"/>
    <col min="8" max="8" width="8.7109375" style="5" customWidth="1"/>
    <col min="9" max="9" width="8.85546875" style="299" customWidth="1"/>
    <col min="10" max="10" width="8.28515625" style="299" customWidth="1"/>
    <col min="11" max="16384" width="9.140625" style="5"/>
  </cols>
  <sheetData>
    <row r="2" spans="1:10" ht="18.75">
      <c r="A2" s="131"/>
      <c r="E2" s="132" t="s">
        <v>175</v>
      </c>
    </row>
    <row r="4" spans="1:10" ht="15.75">
      <c r="B4" s="139" t="s">
        <v>193</v>
      </c>
    </row>
    <row r="7" spans="1:10">
      <c r="B7" s="79"/>
      <c r="C7" s="79"/>
      <c r="D7" s="79"/>
      <c r="E7" s="84" t="s">
        <v>178</v>
      </c>
      <c r="F7" s="79" t="s">
        <v>180</v>
      </c>
      <c r="G7" s="79" t="s">
        <v>182</v>
      </c>
      <c r="H7" s="79" t="s">
        <v>184</v>
      </c>
      <c r="I7" s="300" t="s">
        <v>306</v>
      </c>
      <c r="J7" s="304"/>
    </row>
    <row r="8" spans="1:10">
      <c r="B8" s="81" t="s">
        <v>174</v>
      </c>
      <c r="C8" s="81" t="s">
        <v>176</v>
      </c>
      <c r="D8" s="81" t="s">
        <v>177</v>
      </c>
      <c r="E8" s="86" t="s">
        <v>179</v>
      </c>
      <c r="F8" s="81" t="s">
        <v>181</v>
      </c>
      <c r="G8" s="81" t="s">
        <v>183</v>
      </c>
      <c r="H8" s="81" t="s">
        <v>185</v>
      </c>
      <c r="I8" s="164" t="s">
        <v>186</v>
      </c>
      <c r="J8" s="302" t="s">
        <v>198</v>
      </c>
    </row>
    <row r="9" spans="1:10">
      <c r="B9" s="137" t="s">
        <v>191</v>
      </c>
      <c r="C9" s="137">
        <v>220</v>
      </c>
      <c r="D9" s="137" t="s">
        <v>192</v>
      </c>
      <c r="E9" s="137" t="s">
        <v>194</v>
      </c>
      <c r="F9" s="137">
        <v>2</v>
      </c>
      <c r="G9" s="137" t="s">
        <v>196</v>
      </c>
      <c r="H9" s="137">
        <f>'1.1'!E104</f>
        <v>57</v>
      </c>
      <c r="I9" s="163">
        <v>88</v>
      </c>
      <c r="J9" s="163">
        <f>H16*F9*H9*I9*H17</f>
        <v>481536</v>
      </c>
    </row>
    <row r="10" spans="1:10">
      <c r="B10" s="136" t="s">
        <v>187</v>
      </c>
      <c r="C10" s="11">
        <v>110</v>
      </c>
      <c r="D10" s="11" t="s">
        <v>192</v>
      </c>
      <c r="E10" s="11" t="s">
        <v>195</v>
      </c>
      <c r="F10" s="11">
        <v>2</v>
      </c>
      <c r="G10" s="11" t="s">
        <v>197</v>
      </c>
      <c r="H10" s="11">
        <f>'1.1'!F104</f>
        <v>28</v>
      </c>
      <c r="I10" s="164">
        <v>38</v>
      </c>
      <c r="J10" s="301">
        <f>H16*F10*H10*I10*H17</f>
        <v>102144</v>
      </c>
    </row>
    <row r="11" spans="1:10">
      <c r="B11" s="137" t="s">
        <v>188</v>
      </c>
      <c r="C11" s="137">
        <v>110</v>
      </c>
      <c r="D11" s="137" t="s">
        <v>192</v>
      </c>
      <c r="E11" s="137" t="s">
        <v>219</v>
      </c>
      <c r="F11" s="137">
        <v>1</v>
      </c>
      <c r="G11" s="137" t="s">
        <v>197</v>
      </c>
      <c r="H11" s="137">
        <f>'1.1'!G104</f>
        <v>28</v>
      </c>
      <c r="I11" s="163">
        <v>34</v>
      </c>
      <c r="J11" s="163">
        <f>H16*F11*H11*I11*H17</f>
        <v>45696</v>
      </c>
    </row>
    <row r="12" spans="1:10">
      <c r="B12" s="11" t="s">
        <v>189</v>
      </c>
      <c r="C12" s="11">
        <v>110</v>
      </c>
      <c r="D12" s="11" t="s">
        <v>192</v>
      </c>
      <c r="E12" s="137" t="s">
        <v>219</v>
      </c>
      <c r="F12" s="11">
        <v>1</v>
      </c>
      <c r="G12" s="11" t="s">
        <v>197</v>
      </c>
      <c r="H12" s="11">
        <f>'1.1'!H104</f>
        <v>29</v>
      </c>
      <c r="I12" s="301">
        <v>34</v>
      </c>
      <c r="J12" s="301">
        <f>H16*F12*H12*I12*H17</f>
        <v>47328</v>
      </c>
    </row>
    <row r="13" spans="1:10">
      <c r="B13" s="137" t="s">
        <v>190</v>
      </c>
      <c r="C13" s="137">
        <v>110</v>
      </c>
      <c r="D13" s="137" t="s">
        <v>192</v>
      </c>
      <c r="E13" s="137" t="s">
        <v>219</v>
      </c>
      <c r="F13" s="137">
        <v>1</v>
      </c>
      <c r="G13" s="137" t="s">
        <v>197</v>
      </c>
      <c r="H13" s="137">
        <f>'1.1'!K104</f>
        <v>35</v>
      </c>
      <c r="I13" s="163">
        <v>34</v>
      </c>
      <c r="J13" s="163">
        <f>H16*F13*H13*I13*H17</f>
        <v>57120</v>
      </c>
    </row>
    <row r="14" spans="1:10">
      <c r="B14" s="134"/>
      <c r="C14" s="134"/>
      <c r="D14" s="134"/>
      <c r="E14" s="134"/>
      <c r="F14" s="134"/>
      <c r="G14" s="134"/>
      <c r="H14" s="134"/>
      <c r="I14" s="302" t="s">
        <v>199</v>
      </c>
      <c r="J14" s="302">
        <f>SUM(J9:J13)</f>
        <v>733824</v>
      </c>
    </row>
    <row r="15" spans="1:10">
      <c r="B15" s="134"/>
      <c r="C15" s="134"/>
      <c r="D15" s="134"/>
      <c r="E15" s="134"/>
      <c r="F15" s="134"/>
      <c r="G15" s="134"/>
      <c r="H15" s="134"/>
      <c r="I15" s="303"/>
      <c r="J15" s="303"/>
    </row>
    <row r="16" spans="1:10">
      <c r="B16" s="161" t="s">
        <v>244</v>
      </c>
      <c r="C16" s="138"/>
      <c r="D16" s="138"/>
      <c r="E16" s="138"/>
      <c r="F16" s="293"/>
      <c r="G16" s="293"/>
      <c r="H16" s="138">
        <f>ТЭС!H113</f>
        <v>40</v>
      </c>
      <c r="I16" s="303"/>
      <c r="J16" s="303"/>
    </row>
    <row r="17" spans="2:10">
      <c r="B17" s="160" t="s">
        <v>243</v>
      </c>
      <c r="C17" s="294"/>
      <c r="D17" s="294"/>
      <c r="E17" s="294"/>
      <c r="F17" s="294"/>
      <c r="G17" s="294"/>
      <c r="H17" s="294">
        <f>ТЭС!H114</f>
        <v>1.2</v>
      </c>
      <c r="I17" s="303"/>
      <c r="J17" s="303"/>
    </row>
    <row r="19" spans="2:10" ht="15.75">
      <c r="B19" s="139" t="s">
        <v>201</v>
      </c>
    </row>
    <row r="21" spans="2:10" ht="15.75">
      <c r="B21" s="140" t="s">
        <v>200</v>
      </c>
      <c r="C21" s="135"/>
      <c r="D21" s="135"/>
      <c r="E21" s="135"/>
      <c r="F21" s="84"/>
      <c r="G21" s="79" t="s">
        <v>180</v>
      </c>
      <c r="H21" s="133" t="s">
        <v>307</v>
      </c>
      <c r="I21" s="304"/>
    </row>
    <row r="22" spans="2:10">
      <c r="B22" s="83"/>
      <c r="C22" s="85"/>
      <c r="D22" s="85"/>
      <c r="E22" s="85"/>
      <c r="F22" s="86"/>
      <c r="G22" s="81"/>
      <c r="H22" s="11" t="s">
        <v>202</v>
      </c>
      <c r="I22" s="164" t="s">
        <v>203</v>
      </c>
    </row>
    <row r="23" spans="2:10">
      <c r="B23" s="143" t="s">
        <v>32</v>
      </c>
      <c r="C23" s="144"/>
      <c r="D23" s="144"/>
      <c r="E23" s="144"/>
      <c r="F23" s="145"/>
      <c r="G23" s="141"/>
      <c r="H23" s="141"/>
      <c r="I23" s="305"/>
    </row>
    <row r="24" spans="2:10">
      <c r="B24" s="219" t="s">
        <v>284</v>
      </c>
      <c r="C24" s="146"/>
      <c r="D24" s="146"/>
      <c r="E24" s="146"/>
      <c r="F24" s="147"/>
      <c r="G24" s="142">
        <v>2</v>
      </c>
      <c r="H24" s="142">
        <v>600</v>
      </c>
      <c r="I24" s="306">
        <f>H16*G24*H24*H17</f>
        <v>57600</v>
      </c>
    </row>
    <row r="25" spans="2:10">
      <c r="B25" s="267" t="s">
        <v>71</v>
      </c>
      <c r="C25" s="268"/>
      <c r="D25" s="268"/>
      <c r="E25" s="268"/>
      <c r="F25" s="269"/>
      <c r="G25" s="191"/>
      <c r="H25" s="191"/>
      <c r="I25" s="307"/>
    </row>
    <row r="26" spans="2:10">
      <c r="B26" s="270" t="s">
        <v>284</v>
      </c>
      <c r="C26" s="271"/>
      <c r="D26" s="271"/>
      <c r="E26" s="271"/>
      <c r="F26" s="272"/>
      <c r="G26" s="276">
        <v>4</v>
      </c>
      <c r="H26" s="276">
        <v>210</v>
      </c>
      <c r="I26" s="308">
        <f>H26*G26*H16*H17</f>
        <v>40320</v>
      </c>
    </row>
    <row r="27" spans="2:10">
      <c r="B27" s="273" t="s">
        <v>285</v>
      </c>
      <c r="C27" s="274"/>
      <c r="D27" s="274"/>
      <c r="E27" s="274"/>
      <c r="F27" s="275"/>
      <c r="G27" s="192">
        <v>10</v>
      </c>
      <c r="H27" s="192">
        <v>290</v>
      </c>
      <c r="I27" s="309">
        <f>H27*G27*H16*H17</f>
        <v>139200</v>
      </c>
    </row>
    <row r="28" spans="2:10">
      <c r="B28" s="270" t="s">
        <v>286</v>
      </c>
      <c r="C28" s="271"/>
      <c r="D28" s="271"/>
      <c r="E28" s="271"/>
      <c r="F28" s="272"/>
      <c r="G28" s="276">
        <v>3</v>
      </c>
      <c r="H28" s="276">
        <v>4.5999999999999996</v>
      </c>
      <c r="I28" s="295">
        <f>H28*G28*H16*H17</f>
        <v>662.4</v>
      </c>
    </row>
    <row r="29" spans="2:10">
      <c r="B29" s="273" t="s">
        <v>288</v>
      </c>
      <c r="C29" s="274"/>
      <c r="D29" s="274"/>
      <c r="E29" s="274"/>
      <c r="F29" s="275"/>
      <c r="G29" s="192">
        <v>2</v>
      </c>
      <c r="H29" s="192">
        <v>621</v>
      </c>
      <c r="I29" s="309">
        <f>H29*G29*H16*H17</f>
        <v>59616</v>
      </c>
    </row>
    <row r="30" spans="2:10">
      <c r="B30" s="270" t="s">
        <v>287</v>
      </c>
      <c r="C30" s="271"/>
      <c r="D30" s="271"/>
      <c r="E30" s="271"/>
      <c r="F30" s="272"/>
      <c r="G30" s="276">
        <v>2</v>
      </c>
      <c r="H30" s="276">
        <v>150</v>
      </c>
      <c r="I30" s="308">
        <f>H30*G30*H16*H17</f>
        <v>14400</v>
      </c>
    </row>
    <row r="31" spans="2:10">
      <c r="B31" s="273" t="s">
        <v>289</v>
      </c>
      <c r="C31" s="274"/>
      <c r="D31" s="274"/>
      <c r="E31" s="274"/>
      <c r="F31" s="275"/>
      <c r="G31" s="192"/>
      <c r="H31" s="192"/>
      <c r="I31" s="309"/>
    </row>
    <row r="32" spans="2:10">
      <c r="B32" s="270"/>
      <c r="C32" s="271" t="s">
        <v>290</v>
      </c>
      <c r="D32" s="271"/>
      <c r="E32" s="271"/>
      <c r="F32" s="272"/>
      <c r="G32" s="276">
        <v>1</v>
      </c>
      <c r="H32" s="276">
        <v>490</v>
      </c>
      <c r="I32" s="308">
        <f>H32*G32*H16*H17</f>
        <v>23520</v>
      </c>
    </row>
    <row r="33" spans="2:9">
      <c r="B33" s="273"/>
      <c r="C33" s="274" t="s">
        <v>291</v>
      </c>
      <c r="D33" s="274"/>
      <c r="E33" s="274"/>
      <c r="F33" s="275"/>
      <c r="G33" s="192">
        <v>1</v>
      </c>
      <c r="H33" s="192">
        <v>430</v>
      </c>
      <c r="I33" s="309">
        <f>H33*G33*H16*H17</f>
        <v>20640</v>
      </c>
    </row>
    <row r="34" spans="2:9">
      <c r="B34" s="219" t="s">
        <v>292</v>
      </c>
      <c r="C34" s="220"/>
      <c r="D34" s="220"/>
      <c r="E34" s="220"/>
      <c r="F34" s="221"/>
      <c r="G34" s="218"/>
      <c r="H34" s="218"/>
      <c r="I34" s="306"/>
    </row>
    <row r="35" spans="2:9">
      <c r="B35" s="267" t="s">
        <v>99</v>
      </c>
      <c r="C35" s="268"/>
      <c r="D35" s="268"/>
      <c r="E35" s="268"/>
      <c r="F35" s="268"/>
      <c r="G35" s="191"/>
      <c r="H35" s="191"/>
      <c r="I35" s="307"/>
    </row>
    <row r="36" spans="2:9">
      <c r="B36" s="270" t="s">
        <v>284</v>
      </c>
      <c r="C36" s="271"/>
      <c r="D36" s="271"/>
      <c r="E36" s="271"/>
      <c r="F36" s="271"/>
      <c r="G36" s="276">
        <v>2</v>
      </c>
      <c r="H36" s="276">
        <v>290</v>
      </c>
      <c r="I36" s="308">
        <f>H36*G36*H16*H17</f>
        <v>27840</v>
      </c>
    </row>
    <row r="37" spans="2:9">
      <c r="B37" s="277" t="s">
        <v>293</v>
      </c>
      <c r="C37" s="274"/>
      <c r="D37" s="274"/>
      <c r="E37" s="274"/>
      <c r="F37" s="274"/>
      <c r="G37" s="192">
        <v>2</v>
      </c>
      <c r="H37" s="192">
        <v>4.5999999999999996</v>
      </c>
      <c r="I37" s="296">
        <f>H37*G37*H16*H17</f>
        <v>441.59999999999997</v>
      </c>
    </row>
    <row r="38" spans="2:9">
      <c r="B38" s="270" t="s">
        <v>294</v>
      </c>
      <c r="C38" s="271"/>
      <c r="D38" s="271"/>
      <c r="E38" s="271"/>
      <c r="F38" s="271"/>
      <c r="G38" s="276">
        <v>2</v>
      </c>
      <c r="H38" s="276">
        <v>222</v>
      </c>
      <c r="I38" s="308">
        <f>H38*G38*H16*H17</f>
        <v>21312</v>
      </c>
    </row>
    <row r="39" spans="2:9">
      <c r="B39" s="273" t="s">
        <v>295</v>
      </c>
      <c r="C39" s="274"/>
      <c r="D39" s="274"/>
      <c r="E39" s="274"/>
      <c r="F39" s="274"/>
      <c r="G39" s="192"/>
      <c r="H39" s="192"/>
      <c r="I39" s="309"/>
    </row>
    <row r="40" spans="2:9" ht="15.75">
      <c r="B40" s="278" t="s">
        <v>296</v>
      </c>
      <c r="C40" s="279"/>
      <c r="D40" s="271"/>
      <c r="E40" s="271"/>
      <c r="F40" s="271"/>
      <c r="G40" s="276">
        <v>1</v>
      </c>
      <c r="H40" s="276">
        <v>198</v>
      </c>
      <c r="I40" s="308">
        <f>H40*G40*H16*H17</f>
        <v>9504</v>
      </c>
    </row>
    <row r="41" spans="2:9">
      <c r="B41" s="280" t="s">
        <v>297</v>
      </c>
      <c r="C41" s="281"/>
      <c r="D41" s="281"/>
      <c r="E41" s="281"/>
      <c r="F41" s="281"/>
      <c r="G41" s="193"/>
      <c r="H41" s="193"/>
      <c r="I41" s="310"/>
    </row>
    <row r="42" spans="2:9">
      <c r="B42" s="282" t="s">
        <v>101</v>
      </c>
      <c r="C42" s="284"/>
      <c r="D42" s="284"/>
      <c r="E42" s="284"/>
      <c r="F42" s="285"/>
      <c r="G42" s="288"/>
      <c r="H42" s="288"/>
      <c r="I42" s="311"/>
    </row>
    <row r="43" spans="2:9">
      <c r="B43" s="277" t="s">
        <v>284</v>
      </c>
      <c r="C43" s="283"/>
      <c r="D43" s="283"/>
      <c r="E43" s="283"/>
      <c r="F43" s="286"/>
      <c r="G43" s="289">
        <v>2</v>
      </c>
      <c r="H43" s="289">
        <v>290</v>
      </c>
      <c r="I43" s="312">
        <f>H43*G43*H16*H17</f>
        <v>27840</v>
      </c>
    </row>
    <row r="44" spans="2:9">
      <c r="B44" s="270" t="s">
        <v>293</v>
      </c>
      <c r="C44" s="271"/>
      <c r="D44" s="271"/>
      <c r="E44" s="271"/>
      <c r="F44" s="272"/>
      <c r="G44" s="276">
        <v>3</v>
      </c>
      <c r="H44" s="276">
        <v>4.5999999999999996</v>
      </c>
      <c r="I44" s="295">
        <f>H44*G44*H16*H17</f>
        <v>662.4</v>
      </c>
    </row>
    <row r="45" spans="2:9">
      <c r="B45" s="277" t="s">
        <v>298</v>
      </c>
      <c r="C45" s="283"/>
      <c r="D45" s="283"/>
      <c r="E45" s="283"/>
      <c r="F45" s="286"/>
      <c r="G45" s="289">
        <v>2</v>
      </c>
      <c r="H45" s="289">
        <v>172</v>
      </c>
      <c r="I45" s="312">
        <f>H45*G45*H16*H17</f>
        <v>16512</v>
      </c>
    </row>
    <row r="46" spans="2:9">
      <c r="B46" s="270" t="s">
        <v>295</v>
      </c>
      <c r="C46" s="271"/>
      <c r="D46" s="271"/>
      <c r="E46" s="271"/>
      <c r="F46" s="272"/>
      <c r="G46" s="276"/>
      <c r="H46" s="276"/>
      <c r="I46" s="308"/>
    </row>
    <row r="47" spans="2:9" ht="15.75">
      <c r="B47" s="287" t="s">
        <v>299</v>
      </c>
      <c r="C47" s="254"/>
      <c r="D47" s="283"/>
      <c r="E47" s="283"/>
      <c r="F47" s="286"/>
      <c r="G47" s="289">
        <v>1</v>
      </c>
      <c r="H47" s="289">
        <v>235</v>
      </c>
      <c r="I47" s="312">
        <f>H47*G47*H16*H17</f>
        <v>11280</v>
      </c>
    </row>
    <row r="48" spans="2:9">
      <c r="B48" s="219" t="s">
        <v>300</v>
      </c>
      <c r="C48" s="220"/>
      <c r="D48" s="220"/>
      <c r="E48" s="220"/>
      <c r="F48" s="221"/>
      <c r="G48" s="218"/>
      <c r="H48" s="218"/>
      <c r="I48" s="306"/>
    </row>
    <row r="49" spans="1:10">
      <c r="B49" s="71"/>
      <c r="C49" s="71"/>
      <c r="D49" s="71"/>
      <c r="E49" s="71"/>
      <c r="F49" s="71"/>
    </row>
    <row r="50" spans="1:10">
      <c r="B50" s="213"/>
      <c r="C50" s="213"/>
      <c r="D50" s="213"/>
      <c r="E50" s="213"/>
      <c r="F50" s="213"/>
      <c r="G50" s="213"/>
      <c r="H50" s="213"/>
      <c r="I50" s="313"/>
    </row>
    <row r="52" spans="1:10">
      <c r="B52" s="267" t="s">
        <v>103</v>
      </c>
      <c r="C52" s="268"/>
      <c r="D52" s="268"/>
      <c r="E52" s="268"/>
      <c r="F52" s="268"/>
      <c r="G52" s="191"/>
      <c r="H52" s="191"/>
      <c r="I52" s="307"/>
    </row>
    <row r="53" spans="1:10">
      <c r="B53" s="270" t="s">
        <v>284</v>
      </c>
      <c r="C53" s="271"/>
      <c r="D53" s="271"/>
      <c r="E53" s="271"/>
      <c r="F53" s="271"/>
      <c r="G53" s="276">
        <v>2</v>
      </c>
      <c r="H53" s="276">
        <v>290</v>
      </c>
      <c r="I53" s="308">
        <f>H53*G53*H16*H17</f>
        <v>27840</v>
      </c>
    </row>
    <row r="54" spans="1:10">
      <c r="B54" s="277" t="s">
        <v>293</v>
      </c>
      <c r="C54" s="274"/>
      <c r="D54" s="274"/>
      <c r="E54" s="274"/>
      <c r="F54" s="274"/>
      <c r="G54" s="192">
        <v>3</v>
      </c>
      <c r="H54" s="192">
        <v>4.5999999999999996</v>
      </c>
      <c r="I54" s="296">
        <f>H54*G54*H16*H17</f>
        <v>662.4</v>
      </c>
    </row>
    <row r="55" spans="1:10">
      <c r="B55" s="270" t="s">
        <v>298</v>
      </c>
      <c r="C55" s="271"/>
      <c r="D55" s="271"/>
      <c r="E55" s="271"/>
      <c r="F55" s="271"/>
      <c r="G55" s="276">
        <v>2</v>
      </c>
      <c r="H55" s="276">
        <v>172</v>
      </c>
      <c r="I55" s="308">
        <f>H55*G55*H16*H17</f>
        <v>16512</v>
      </c>
    </row>
    <row r="56" spans="1:10">
      <c r="B56" s="273" t="s">
        <v>295</v>
      </c>
      <c r="C56" s="274"/>
      <c r="D56" s="274"/>
      <c r="E56" s="274"/>
      <c r="F56" s="274"/>
      <c r="G56" s="192"/>
      <c r="H56" s="192"/>
      <c r="I56" s="309"/>
    </row>
    <row r="57" spans="1:10" ht="15.75">
      <c r="B57" s="278" t="s">
        <v>299</v>
      </c>
      <c r="C57" s="279"/>
      <c r="D57" s="271"/>
      <c r="E57" s="271"/>
      <c r="F57" s="272"/>
      <c r="G57" s="276">
        <v>1</v>
      </c>
      <c r="H57" s="276">
        <v>235</v>
      </c>
      <c r="I57" s="308">
        <f>H57*G57*H16*H17</f>
        <v>11280</v>
      </c>
    </row>
    <row r="58" spans="1:10">
      <c r="B58" s="290" t="s">
        <v>300</v>
      </c>
      <c r="C58" s="291"/>
      <c r="D58" s="291"/>
      <c r="E58" s="291"/>
      <c r="F58" s="292"/>
      <c r="G58" s="193"/>
      <c r="H58" s="193"/>
      <c r="I58" s="310"/>
    </row>
    <row r="59" spans="1:10">
      <c r="H59" s="189" t="s">
        <v>199</v>
      </c>
      <c r="I59" s="297">
        <f>SUM(I24:I58)</f>
        <v>527644.80000000005</v>
      </c>
    </row>
    <row r="61" spans="1:10">
      <c r="A61" s="186"/>
      <c r="B61" s="186"/>
      <c r="C61" s="186"/>
      <c r="D61" s="186"/>
      <c r="E61" s="186"/>
      <c r="F61" s="186"/>
      <c r="G61" s="186"/>
      <c r="H61" s="186"/>
      <c r="I61" s="167"/>
      <c r="J61" s="167"/>
    </row>
    <row r="62" spans="1:10">
      <c r="A62" s="186"/>
      <c r="B62" s="186"/>
      <c r="C62" s="186"/>
      <c r="D62" s="186"/>
      <c r="E62" s="186"/>
      <c r="F62" s="186"/>
      <c r="G62" s="186"/>
      <c r="H62" s="186"/>
      <c r="I62" s="167"/>
      <c r="J62" s="167"/>
    </row>
    <row r="63" spans="1:10">
      <c r="A63" s="186"/>
      <c r="B63" s="154" t="s">
        <v>301</v>
      </c>
      <c r="C63" s="186"/>
      <c r="D63" s="186"/>
      <c r="E63" s="186"/>
      <c r="F63" s="186"/>
      <c r="G63" s="186"/>
      <c r="H63" s="186"/>
      <c r="I63" s="167"/>
      <c r="J63" s="167"/>
    </row>
    <row r="64" spans="1:10">
      <c r="A64" s="186"/>
      <c r="B64" s="186"/>
      <c r="C64" s="186"/>
      <c r="D64" s="186"/>
      <c r="E64" s="186"/>
      <c r="F64" s="186"/>
      <c r="G64" s="186"/>
      <c r="H64" s="186"/>
      <c r="I64" s="167"/>
      <c r="J64" s="167"/>
    </row>
    <row r="65" spans="1:10">
      <c r="A65" s="186"/>
      <c r="B65"/>
      <c r="C65" s="186"/>
      <c r="D65" s="166">
        <f>I59-I57-I47-I40-I33-I32</f>
        <v>451420.80000000005</v>
      </c>
      <c r="E65" s="186" t="s">
        <v>222</v>
      </c>
      <c r="G65" s="186"/>
      <c r="H65" s="186"/>
      <c r="I65" s="167"/>
      <c r="J65" s="167"/>
    </row>
    <row r="66" spans="1:10">
      <c r="A66" s="186"/>
      <c r="B66" s="186"/>
      <c r="C66" s="186"/>
      <c r="D66" s="186"/>
      <c r="E66" s="186"/>
      <c r="F66" s="186"/>
      <c r="G66" s="186"/>
      <c r="H66" s="186"/>
      <c r="I66" s="167"/>
      <c r="J66" s="167"/>
    </row>
    <row r="67" spans="1:10">
      <c r="A67" s="186"/>
      <c r="B67" s="186"/>
      <c r="C67" s="186"/>
      <c r="D67" s="186"/>
      <c r="E67" s="186"/>
      <c r="F67" s="186"/>
      <c r="G67" s="186"/>
      <c r="H67" s="186"/>
      <c r="I67" s="167"/>
      <c r="J67" s="167"/>
    </row>
    <row r="68" spans="1:10">
      <c r="A68" s="186"/>
      <c r="B68" s="153" t="s">
        <v>302</v>
      </c>
      <c r="C68" s="186"/>
      <c r="D68" s="186"/>
      <c r="E68" s="186"/>
      <c r="F68" s="186"/>
      <c r="G68" s="186"/>
      <c r="H68" s="186"/>
      <c r="I68" s="167"/>
      <c r="J68" s="167"/>
    </row>
    <row r="69" spans="1:10">
      <c r="A69" s="186"/>
      <c r="B69" s="186"/>
      <c r="C69" s="186"/>
      <c r="D69" s="186"/>
      <c r="E69" s="186"/>
      <c r="F69" s="186"/>
      <c r="G69" s="186"/>
      <c r="H69" s="186"/>
      <c r="I69" s="167"/>
      <c r="J69" s="167"/>
    </row>
    <row r="70" spans="1:10">
      <c r="A70" s="186"/>
      <c r="B70" s="186"/>
      <c r="C70" s="186"/>
      <c r="D70" s="298">
        <f>J14+I59</f>
        <v>1261468.8</v>
      </c>
      <c r="E70" s="186" t="s">
        <v>222</v>
      </c>
      <c r="F70" s="186"/>
      <c r="G70" s="186"/>
      <c r="H70" s="186"/>
      <c r="I70" s="167"/>
      <c r="J70" s="167"/>
    </row>
    <row r="71" spans="1:10">
      <c r="A71" s="186"/>
      <c r="B71" s="186"/>
      <c r="C71" s="186"/>
      <c r="D71" s="186"/>
      <c r="E71" s="186"/>
      <c r="F71" s="186"/>
      <c r="G71" s="186"/>
      <c r="H71" s="186"/>
      <c r="I71" s="167"/>
      <c r="J71" s="167"/>
    </row>
    <row r="72" spans="1:10">
      <c r="A72" s="186"/>
      <c r="B72" s="186"/>
      <c r="C72" s="186"/>
      <c r="D72" s="186"/>
      <c r="E72" s="186"/>
      <c r="F72" s="186"/>
      <c r="G72" s="186"/>
      <c r="H72" s="186"/>
      <c r="I72" s="167"/>
      <c r="J72" s="167"/>
    </row>
    <row r="73" spans="1:10" ht="15.75">
      <c r="A73" s="186"/>
      <c r="B73" s="156" t="s">
        <v>231</v>
      </c>
      <c r="C73" s="186"/>
      <c r="D73" s="186"/>
      <c r="E73" s="186"/>
      <c r="F73" s="186"/>
      <c r="G73" s="186"/>
      <c r="H73" s="186"/>
      <c r="I73" s="167"/>
      <c r="J73" s="167"/>
    </row>
    <row r="74" spans="1:10">
      <c r="A74" s="186"/>
      <c r="B74" s="186"/>
      <c r="C74" s="186"/>
      <c r="D74" s="186"/>
      <c r="E74" s="186"/>
      <c r="F74" s="186"/>
      <c r="G74" s="186"/>
      <c r="H74" s="186"/>
      <c r="I74" s="167"/>
      <c r="J74" s="167"/>
    </row>
    <row r="75" spans="1:10">
      <c r="A75" s="186"/>
      <c r="B75"/>
      <c r="C75" s="186"/>
      <c r="D75" s="162">
        <f>H79*D65*H78/100/100</f>
        <v>14115.928415999999</v>
      </c>
      <c r="E75" s="63" t="s">
        <v>222</v>
      </c>
      <c r="F75" s="186"/>
      <c r="G75" s="186"/>
      <c r="H75" s="186"/>
      <c r="I75" s="167"/>
      <c r="J75" s="167"/>
    </row>
    <row r="76" spans="1:10">
      <c r="A76" s="186"/>
      <c r="B76" s="186"/>
      <c r="C76" s="186"/>
      <c r="D76" s="186"/>
      <c r="E76" s="186"/>
      <c r="F76" s="186"/>
      <c r="G76" s="186"/>
      <c r="H76" s="186"/>
      <c r="I76" s="167"/>
      <c r="J76" s="167"/>
    </row>
    <row r="77" spans="1:10">
      <c r="A77" s="186"/>
      <c r="B77" s="186"/>
      <c r="C77" s="186"/>
      <c r="D77" s="186"/>
      <c r="E77" s="186"/>
      <c r="F77" s="186"/>
      <c r="G77" s="186"/>
      <c r="H77" s="186"/>
      <c r="I77" s="167"/>
      <c r="J77" s="167"/>
    </row>
    <row r="78" spans="1:10">
      <c r="A78" s="186"/>
      <c r="B78" s="171" t="s">
        <v>246</v>
      </c>
      <c r="C78" s="155"/>
      <c r="D78" s="155"/>
      <c r="E78" s="155"/>
      <c r="F78" s="155"/>
      <c r="G78" s="155"/>
      <c r="H78" s="314">
        <v>53</v>
      </c>
      <c r="I78" s="314" t="s">
        <v>18</v>
      </c>
    </row>
    <row r="79" spans="1:10">
      <c r="A79" s="186"/>
      <c r="B79" s="159" t="s">
        <v>232</v>
      </c>
      <c r="C79" s="157"/>
      <c r="D79" s="157"/>
      <c r="E79" s="157"/>
      <c r="F79" s="157"/>
      <c r="G79" s="157"/>
      <c r="H79" s="315">
        <v>5.9</v>
      </c>
      <c r="I79" s="315" t="s">
        <v>18</v>
      </c>
    </row>
    <row r="80" spans="1:10">
      <c r="G80" s="186"/>
      <c r="H80" s="186"/>
      <c r="I80" s="167"/>
      <c r="J80" s="167"/>
    </row>
    <row r="81" spans="1:10">
      <c r="G81" s="186"/>
      <c r="H81" s="186"/>
      <c r="I81" s="167"/>
      <c r="J81" s="167"/>
    </row>
    <row r="82" spans="1:10" ht="15.75">
      <c r="A82" s="186"/>
      <c r="B82" s="156" t="s">
        <v>233</v>
      </c>
      <c r="C82" s="186"/>
      <c r="D82" s="186"/>
      <c r="E82" s="186"/>
      <c r="F82" s="186"/>
      <c r="G82" s="186"/>
      <c r="H82" s="186"/>
      <c r="I82" s="167"/>
      <c r="J82" s="167"/>
    </row>
    <row r="83" spans="1:10">
      <c r="A83" s="186"/>
      <c r="B83" s="186"/>
      <c r="C83" s="186"/>
      <c r="D83" s="186"/>
      <c r="E83" s="186"/>
      <c r="F83" s="186"/>
      <c r="G83" s="186"/>
      <c r="H83" s="186"/>
      <c r="I83" s="167"/>
      <c r="J83" s="167"/>
    </row>
    <row r="84" spans="1:10">
      <c r="A84" s="186"/>
      <c r="B84" s="186"/>
      <c r="C84" s="186"/>
      <c r="D84" s="41">
        <f>H88*H87*J14/100/100</f>
        <v>410.94144</v>
      </c>
      <c r="E84" s="63" t="s">
        <v>222</v>
      </c>
      <c r="F84" s="186"/>
      <c r="G84" s="186"/>
      <c r="H84" s="186"/>
      <c r="I84" s="167"/>
      <c r="J84" s="167"/>
    </row>
    <row r="85" spans="1:10">
      <c r="A85" s="186"/>
      <c r="B85" s="186"/>
      <c r="C85" s="186"/>
      <c r="D85" s="186"/>
      <c r="E85" s="186"/>
      <c r="F85" s="186"/>
      <c r="G85" s="186"/>
      <c r="H85" s="186"/>
      <c r="I85" s="167"/>
      <c r="J85" s="167"/>
    </row>
    <row r="86" spans="1:10">
      <c r="A86" s="186"/>
      <c r="B86" s="186"/>
      <c r="C86" s="186"/>
      <c r="D86" s="186"/>
      <c r="E86" s="186"/>
      <c r="F86" s="186"/>
      <c r="G86" s="186"/>
      <c r="H86" s="186"/>
      <c r="I86" s="167"/>
      <c r="J86" s="167"/>
    </row>
    <row r="87" spans="1:10">
      <c r="A87" s="186"/>
      <c r="B87" s="171" t="s">
        <v>247</v>
      </c>
      <c r="C87" s="155"/>
      <c r="D87" s="155"/>
      <c r="E87" s="155"/>
      <c r="F87" s="155"/>
      <c r="G87" s="155"/>
      <c r="H87" s="314">
        <v>7</v>
      </c>
      <c r="I87" s="314" t="s">
        <v>18</v>
      </c>
    </row>
    <row r="88" spans="1:10">
      <c r="A88" s="186"/>
      <c r="B88" s="159" t="s">
        <v>248</v>
      </c>
      <c r="C88" s="157"/>
      <c r="D88" s="157"/>
      <c r="E88" s="157"/>
      <c r="F88" s="157"/>
      <c r="G88" s="157"/>
      <c r="H88" s="315">
        <v>0.8</v>
      </c>
      <c r="I88" s="315" t="s">
        <v>18</v>
      </c>
    </row>
    <row r="90" spans="1:10">
      <c r="H90" s="186"/>
    </row>
    <row r="91" spans="1:10">
      <c r="A91" s="186"/>
      <c r="B91" s="153" t="s">
        <v>224</v>
      </c>
      <c r="C91" s="186"/>
      <c r="D91" s="186"/>
      <c r="E91" s="186"/>
      <c r="F91" s="186"/>
      <c r="G91" s="186"/>
      <c r="H91" s="186"/>
    </row>
    <row r="92" spans="1:10">
      <c r="A92" s="186"/>
      <c r="B92" s="186"/>
      <c r="C92" s="186"/>
      <c r="D92" s="186"/>
      <c r="E92" s="186"/>
      <c r="F92" s="186"/>
      <c r="G92" s="186"/>
      <c r="H92" s="186"/>
      <c r="I92" s="167"/>
      <c r="J92" s="167"/>
    </row>
    <row r="93" spans="1:10">
      <c r="A93" s="186"/>
      <c r="B93" s="186"/>
      <c r="C93" s="186"/>
      <c r="D93" s="186"/>
      <c r="E93" s="186"/>
      <c r="F93" s="186"/>
      <c r="G93" s="186"/>
      <c r="H93" s="186"/>
      <c r="I93" s="167"/>
      <c r="J93" s="167"/>
    </row>
    <row r="94" spans="1:10">
      <c r="A94" s="186"/>
      <c r="B94" s="186"/>
      <c r="C94" s="186"/>
      <c r="D94" s="186"/>
      <c r="E94" s="162">
        <f>(0.124+(F98/10000))^2*8760</f>
        <v>2592.0995175798598</v>
      </c>
      <c r="F94" s="186" t="s">
        <v>225</v>
      </c>
      <c r="G94" s="186"/>
      <c r="H94" s="186"/>
      <c r="I94" s="167"/>
      <c r="J94" s="167"/>
    </row>
    <row r="95" spans="1:10">
      <c r="A95" s="186"/>
      <c r="B95" s="186"/>
      <c r="C95" s="186"/>
      <c r="D95" s="186"/>
      <c r="E95" s="186"/>
      <c r="F95" s="186"/>
      <c r="G95" s="186"/>
      <c r="H95" s="186"/>
      <c r="I95" s="167"/>
      <c r="J95" s="167"/>
    </row>
    <row r="96" spans="1:10">
      <c r="A96" s="186"/>
      <c r="B96" s="186"/>
      <c r="C96" s="186"/>
      <c r="D96" s="186"/>
      <c r="E96" s="186"/>
      <c r="F96" s="186"/>
      <c r="G96" s="186"/>
      <c r="H96" s="186"/>
    </row>
    <row r="97" spans="1:10">
      <c r="A97" s="186"/>
      <c r="B97" s="186"/>
      <c r="C97" s="186"/>
      <c r="D97" s="66"/>
      <c r="E97" s="186"/>
      <c r="F97" s="186"/>
      <c r="G97" s="186"/>
      <c r="H97" s="186"/>
    </row>
    <row r="98" spans="1:10">
      <c r="A98" s="186"/>
      <c r="B98" s="186"/>
      <c r="C98" s="186"/>
      <c r="D98" s="186"/>
      <c r="E98" s="186"/>
      <c r="F98" s="162">
        <f>(SQRT(('1.2'!F45*'1.1'!O12)^2+('1.2'!F49*'1.1'!O12)^2)/'1.2'!F53)</f>
        <v>4199.685389921241</v>
      </c>
      <c r="G98" s="186" t="s">
        <v>225</v>
      </c>
      <c r="H98" s="186"/>
    </row>
    <row r="99" spans="1:10">
      <c r="A99" s="186"/>
      <c r="B99" s="186"/>
      <c r="C99" s="186"/>
      <c r="D99" s="186"/>
      <c r="E99" s="186"/>
      <c r="F99" s="186"/>
      <c r="G99" s="186"/>
      <c r="H99" s="186"/>
    </row>
    <row r="100" spans="1:10">
      <c r="A100" s="186"/>
      <c r="B100" s="186"/>
      <c r="C100" s="186"/>
      <c r="D100" s="186"/>
      <c r="E100" s="186"/>
      <c r="F100" s="186"/>
      <c r="G100" s="186"/>
    </row>
    <row r="102" spans="1:10">
      <c r="A102" s="186"/>
      <c r="B102" s="153" t="s">
        <v>228</v>
      </c>
      <c r="C102" s="186"/>
      <c r="D102" s="186"/>
      <c r="E102" s="186"/>
      <c r="F102" s="186"/>
      <c r="G102" s="186"/>
    </row>
    <row r="103" spans="1:10">
      <c r="A103" s="186"/>
      <c r="B103" s="186"/>
      <c r="C103" s="186"/>
      <c r="D103" s="186"/>
      <c r="E103" s="186"/>
      <c r="F103" s="186"/>
      <c r="G103" s="186"/>
    </row>
    <row r="104" spans="1:10">
      <c r="A104" s="186"/>
      <c r="B104"/>
      <c r="C104" s="186"/>
      <c r="D104" s="162">
        <f>('1.5'!E25+'1.5'!E76+'1.5'!E96+'1.5'!E169+'1.5'!E248+'1.5'!E264+'1.5'!E280+'1.5'!E332+'1.6'!E62+'1.6'!E114)*'1.1'!O34*E94</f>
        <v>33346.729217903056</v>
      </c>
      <c r="E104" s="186" t="s">
        <v>222</v>
      </c>
      <c r="F104" s="186"/>
      <c r="G104" s="186"/>
    </row>
    <row r="105" spans="1:10">
      <c r="A105" s="186"/>
      <c r="B105" s="186"/>
      <c r="C105" s="186"/>
      <c r="D105" s="186"/>
      <c r="E105" s="186"/>
      <c r="F105" s="186"/>
      <c r="G105" s="186"/>
    </row>
    <row r="106" spans="1:10">
      <c r="A106" s="186"/>
      <c r="B106" s="186"/>
      <c r="C106" s="186" t="s">
        <v>229</v>
      </c>
      <c r="D106" s="186"/>
      <c r="E106" s="186"/>
      <c r="F106" s="186"/>
      <c r="G106" s="186"/>
      <c r="H106" s="186"/>
      <c r="I106" s="167"/>
      <c r="J106" s="167"/>
    </row>
    <row r="107" spans="1:10">
      <c r="A107" s="186"/>
      <c r="B107"/>
      <c r="C107" s="186" t="s">
        <v>305</v>
      </c>
      <c r="D107" s="186"/>
      <c r="E107" s="186"/>
      <c r="F107" s="186"/>
      <c r="G107" s="186"/>
      <c r="H107" s="186"/>
      <c r="I107" s="167"/>
      <c r="J107" s="167"/>
    </row>
    <row r="108" spans="1:10">
      <c r="A108" s="186"/>
      <c r="B108" s="186"/>
      <c r="C108" s="186"/>
      <c r="D108" s="186"/>
      <c r="E108" s="186"/>
      <c r="F108" s="186"/>
      <c r="G108" s="186"/>
      <c r="I108" s="167"/>
      <c r="J108" s="167"/>
    </row>
    <row r="109" spans="1:10">
      <c r="A109" s="186"/>
      <c r="B109"/>
      <c r="C109" s="186"/>
      <c r="E109" s="41">
        <f>('1.5'!E25+'1.5'!E76+'1.5'!E96+'1.5'!E169+'1.5'!E248+'1.5'!E264+'1.5'!E280+'1.5'!E332+'1.6'!E62+'1.6'!E114)*F98</f>
        <v>54027.9300807256</v>
      </c>
      <c r="F109" s="190" t="s">
        <v>312</v>
      </c>
      <c r="G109" s="186"/>
      <c r="I109" s="167"/>
      <c r="J109" s="167"/>
    </row>
    <row r="110" spans="1:10">
      <c r="I110" s="167"/>
      <c r="J110" s="167"/>
    </row>
    <row r="111" spans="1:10">
      <c r="A111" s="186"/>
      <c r="B111" s="153" t="s">
        <v>234</v>
      </c>
      <c r="C111" s="186"/>
      <c r="D111" s="186"/>
      <c r="E111" s="186"/>
      <c r="F111" s="186"/>
      <c r="G111" s="186"/>
      <c r="I111" s="167"/>
      <c r="J111" s="167"/>
    </row>
    <row r="112" spans="1:10">
      <c r="A112" s="186"/>
      <c r="B112" s="186"/>
      <c r="C112" s="186"/>
      <c r="D112" s="186"/>
      <c r="E112" s="186"/>
      <c r="F112" s="186"/>
      <c r="G112" s="186"/>
      <c r="I112" s="167"/>
      <c r="J112" s="167"/>
    </row>
    <row r="113" spans="1:10">
      <c r="A113" s="186"/>
      <c r="B113" s="186"/>
      <c r="C113" s="186"/>
      <c r="D113" s="186"/>
      <c r="E113" s="162">
        <f>D84+D75+D104</f>
        <v>47873.599073903053</v>
      </c>
      <c r="F113" s="186" t="s">
        <v>222</v>
      </c>
      <c r="G113" s="186"/>
      <c r="I113" s="167"/>
      <c r="J113" s="167"/>
    </row>
    <row r="114" spans="1:10">
      <c r="A114" s="186"/>
      <c r="B114" s="186"/>
      <c r="C114" s="186"/>
      <c r="D114" s="186"/>
      <c r="E114" s="186"/>
      <c r="F114" s="186"/>
      <c r="G114" s="186"/>
      <c r="I114" s="167"/>
      <c r="J114" s="167"/>
    </row>
    <row r="115" spans="1:10">
      <c r="A115" s="186"/>
      <c r="B115" s="186"/>
      <c r="C115" s="186"/>
      <c r="D115" s="186"/>
      <c r="E115" s="186"/>
      <c r="F115" s="186"/>
      <c r="G115" s="186"/>
      <c r="I115" s="167"/>
      <c r="J115" s="167"/>
    </row>
    <row r="116" spans="1:10">
      <c r="A116" s="186"/>
      <c r="B116" s="66" t="s">
        <v>311</v>
      </c>
      <c r="C116" s="162">
        <f>D70+(E113/(1+'1.1'!O32/100))</f>
        <v>1304213.0848874135</v>
      </c>
      <c r="D116" s="186" t="s">
        <v>222</v>
      </c>
      <c r="E116" s="186" t="s">
        <v>304</v>
      </c>
      <c r="F116" s="186"/>
      <c r="G116" s="186"/>
      <c r="I116" s="167"/>
      <c r="J116" s="167"/>
    </row>
    <row r="117" spans="1:10">
      <c r="I117" s="167"/>
      <c r="J117" s="167"/>
    </row>
    <row r="118" spans="1:10">
      <c r="H118" s="186"/>
      <c r="I118" s="167"/>
      <c r="J118" s="167"/>
    </row>
    <row r="119" spans="1:10" ht="18.75">
      <c r="A119" s="318" t="s">
        <v>308</v>
      </c>
      <c r="H119" s="186"/>
      <c r="I119" s="167"/>
      <c r="J119" s="167"/>
    </row>
    <row r="120" spans="1:10">
      <c r="H120" s="186"/>
      <c r="I120" s="167"/>
      <c r="J120" s="167"/>
    </row>
    <row r="121" spans="1:10">
      <c r="H121" s="186"/>
      <c r="I121" s="167"/>
      <c r="J121" s="167"/>
    </row>
    <row r="122" spans="1:10">
      <c r="B122"/>
      <c r="D122" s="123">
        <f>E113/('1.2'!F45*8000)*10^2</f>
        <v>4.7873599073903055</v>
      </c>
      <c r="E122" s="190" t="s">
        <v>310</v>
      </c>
      <c r="H122" s="186"/>
      <c r="I122" s="167"/>
      <c r="J122" s="167"/>
    </row>
    <row r="123" spans="1:10">
      <c r="H123" s="186"/>
      <c r="I123" s="167"/>
      <c r="J123" s="167"/>
    </row>
    <row r="124" spans="1:10">
      <c r="H124" s="186"/>
      <c r="I124" s="167"/>
      <c r="J124" s="167"/>
    </row>
    <row r="125" spans="1:10" ht="15.75">
      <c r="B125" s="156" t="s">
        <v>309</v>
      </c>
      <c r="H125" s="186"/>
      <c r="I125" s="167"/>
      <c r="J125" s="167"/>
    </row>
    <row r="126" spans="1:10">
      <c r="H126" s="186"/>
      <c r="I126" s="167"/>
      <c r="J126" s="167"/>
    </row>
    <row r="127" spans="1:10">
      <c r="H127" s="186"/>
      <c r="I127" s="167"/>
      <c r="J127" s="167"/>
    </row>
    <row r="128" spans="1:10">
      <c r="C128"/>
      <c r="E128" s="321">
        <f>'1.2'!F45*8000</f>
        <v>1000000</v>
      </c>
      <c r="F128" s="190" t="s">
        <v>42</v>
      </c>
      <c r="H128" s="186"/>
      <c r="I128" s="167"/>
      <c r="J128" s="167"/>
    </row>
    <row r="129" spans="1:10">
      <c r="H129" s="186"/>
      <c r="I129" s="167"/>
      <c r="J129" s="167"/>
    </row>
    <row r="130" spans="1:10">
      <c r="H130" s="186"/>
      <c r="I130" s="167"/>
      <c r="J130" s="167"/>
    </row>
    <row r="131" spans="1:10" ht="15.75">
      <c r="B131" s="156" t="s">
        <v>315</v>
      </c>
      <c r="H131" s="186"/>
      <c r="I131" s="167"/>
      <c r="J131" s="167"/>
    </row>
    <row r="132" spans="1:10">
      <c r="A132" s="186"/>
      <c r="G132" s="186"/>
      <c r="H132" s="186"/>
      <c r="I132" s="167"/>
      <c r="J132" s="167"/>
    </row>
    <row r="134" spans="1:10">
      <c r="C134"/>
      <c r="F134" s="320">
        <f>E109*100/(E128*10^6)</f>
        <v>5.4027930080725596E-6</v>
      </c>
      <c r="G134" s="190" t="s">
        <v>18</v>
      </c>
      <c r="H134" s="319"/>
    </row>
    <row r="136" spans="1:10">
      <c r="H136" s="187"/>
    </row>
    <row r="138" spans="1:10" ht="15.75">
      <c r="B138" s="156" t="s">
        <v>313</v>
      </c>
    </row>
    <row r="141" spans="1:10">
      <c r="D141"/>
      <c r="F141" s="5">
        <f>E128*10^6/(E128*10^6+E109)*100</f>
        <v>99.999994597207291</v>
      </c>
      <c r="G141" s="190" t="s">
        <v>18</v>
      </c>
    </row>
    <row r="145" spans="2:7" ht="15.75">
      <c r="B145" s="156" t="s">
        <v>314</v>
      </c>
    </row>
    <row r="147" spans="2:7">
      <c r="D147"/>
    </row>
    <row r="148" spans="2:7">
      <c r="F148" s="5">
        <f>'1.2'!F45*10^6/('1.2'!F45*10^6+'1.5'!E25+'1.5'!E76+'1.5'!E96+'1.5'!E169+'1.5'!E248+'1.5'!E264+'1.5'!E280+'1.5'!E332+'1.6'!E62+'1.6'!E114)*100</f>
        <v>99.999989708195841</v>
      </c>
      <c r="G148" s="190" t="s">
        <v>18</v>
      </c>
    </row>
  </sheetData>
  <pageMargins left="0.55208333333333337" right="1.0416666666666666E-2" top="0.75" bottom="0.75" header="0.3" footer="0.3"/>
  <pageSetup paperSize="9" orientation="portrait" horizontalDpi="300" verticalDpi="300" r:id="rId1"/>
  <drawing r:id="rId2"/>
  <legacyDrawing r:id="rId3"/>
  <oleObjects>
    <oleObject progId="Equation.3" shapeId="7169" r:id="rId4"/>
    <oleObject progId="Equation.3" shapeId="7170" r:id="rId5"/>
  </oleObjec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C000"/>
  </sheetPr>
  <dimension ref="A2:C23"/>
  <sheetViews>
    <sheetView view="pageLayout" topLeftCell="A7" workbookViewId="0">
      <selection activeCell="H32" sqref="H32:H35"/>
    </sheetView>
  </sheetViews>
  <sheetFormatPr defaultRowHeight="15"/>
  <cols>
    <col min="1" max="1" width="9.140625" style="5"/>
  </cols>
  <sheetData>
    <row r="2" spans="1:3" ht="21">
      <c r="C2" s="74" t="s">
        <v>93</v>
      </c>
    </row>
    <row r="5" spans="1:3">
      <c r="A5" s="5">
        <v>1</v>
      </c>
      <c r="B5" s="19" t="s">
        <v>94</v>
      </c>
    </row>
    <row r="6" spans="1:3">
      <c r="B6" s="75" t="s">
        <v>95</v>
      </c>
    </row>
    <row r="8" spans="1:3">
      <c r="A8" s="5">
        <v>2</v>
      </c>
      <c r="B8" t="s">
        <v>96</v>
      </c>
    </row>
    <row r="9" spans="1:3">
      <c r="B9" t="s">
        <v>97</v>
      </c>
    </row>
    <row r="11" spans="1:3">
      <c r="A11" s="5">
        <v>3</v>
      </c>
      <c r="B11" t="s">
        <v>116</v>
      </c>
    </row>
    <row r="12" spans="1:3">
      <c r="B12" t="s">
        <v>117</v>
      </c>
    </row>
    <row r="13" spans="1:3">
      <c r="B13" t="s">
        <v>118</v>
      </c>
    </row>
    <row r="15" spans="1:3">
      <c r="A15" s="5">
        <v>4</v>
      </c>
      <c r="B15" t="s">
        <v>121</v>
      </c>
    </row>
    <row r="16" spans="1:3">
      <c r="B16" t="s">
        <v>122</v>
      </c>
    </row>
    <row r="17" spans="1:2">
      <c r="B17" t="s">
        <v>123</v>
      </c>
    </row>
    <row r="19" spans="1:2">
      <c r="A19" s="5">
        <v>5</v>
      </c>
      <c r="B19" t="s">
        <v>171</v>
      </c>
    </row>
    <row r="20" spans="1:2">
      <c r="B20" t="s">
        <v>172</v>
      </c>
    </row>
    <row r="22" spans="1:2">
      <c r="A22" s="5">
        <v>6</v>
      </c>
      <c r="B22" t="s">
        <v>226</v>
      </c>
    </row>
    <row r="23" spans="1:2">
      <c r="B23" t="s">
        <v>227</v>
      </c>
    </row>
  </sheetData>
  <pageMargins left="0.96875" right="3.125E-2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</vt:i4>
      </vt:variant>
    </vt:vector>
  </HeadingPairs>
  <TitlesOfParts>
    <vt:vector size="14" baseType="lpstr">
      <vt:lpstr>1.1</vt:lpstr>
      <vt:lpstr>1.2</vt:lpstr>
      <vt:lpstr>1.3</vt:lpstr>
      <vt:lpstr>1.4</vt:lpstr>
      <vt:lpstr>параметры тр-ров</vt:lpstr>
      <vt:lpstr>1.5</vt:lpstr>
      <vt:lpstr>1.6</vt:lpstr>
      <vt:lpstr>потокораздел</vt:lpstr>
      <vt:lpstr>РУ ПС</vt:lpstr>
      <vt:lpstr>ТЭС</vt:lpstr>
      <vt:lpstr>УР на ПК</vt:lpstr>
      <vt:lpstr>ТЭП</vt:lpstr>
      <vt:lpstr>Список литературы</vt:lpstr>
      <vt:lpstr>'1.4'!Область_печати</vt:lpstr>
    </vt:vector>
  </TitlesOfParts>
  <Company>BLACKEDITION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BLACKEDITION</dc:creator>
  <cp:lastModifiedBy>Loner-XP</cp:lastModifiedBy>
  <cp:lastPrinted>2010-01-31T23:05:04Z</cp:lastPrinted>
  <dcterms:created xsi:type="dcterms:W3CDTF">2009-07-13T09:21:00Z</dcterms:created>
  <dcterms:modified xsi:type="dcterms:W3CDTF">2010-02-02T23:10:39Z</dcterms:modified>
</cp:coreProperties>
</file>